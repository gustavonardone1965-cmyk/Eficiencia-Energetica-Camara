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OPERACIONES\PROYECTOS VIGENTES\HELACOR\HELACOR - GESTIÓN DE EXCELENCIA\Gestión de Excelencia\PDCA y PILOTO 17 franquicias\LEAN en Franquicias\Franquicia\Velez Sarsfield 3300\Tarjetas Kanban\"/>
    </mc:Choice>
  </mc:AlternateContent>
  <xr:revisionPtr revIDLastSave="0" documentId="8_{AF4D2177-D6D1-4AE2-BD39-B4C26695C417}" xr6:coauthVersionLast="47" xr6:coauthVersionMax="47" xr10:uidLastSave="{00000000-0000-0000-0000-000000000000}"/>
  <bookViews>
    <workbookView xWindow="-110" yWindow="-110" windowWidth="19420" windowHeight="11500" tabRatio="500" xr2:uid="{00000000-000D-0000-FFFF-FFFF00000000}"/>
  </bookViews>
  <sheets>
    <sheet name="Matriz Layout Camara" sheetId="1" r:id="rId1"/>
    <sheet name="Consumo energia Total Franq" sheetId="4" r:id="rId2"/>
    <sheet name="Propuesta Reubicacion en camara" sheetId="2" r:id="rId3"/>
    <sheet name="Caso de Negocio " sheetId="3" r:id="rId4"/>
    <sheet name="Diferencias" sheetId="5" r:id="rId5"/>
    <sheet name="Layout producto en camara" sheetId="6" r:id="rId6"/>
    <sheet name="Memoria de calculo del ahorro" sheetId="8" r:id="rId7"/>
  </sheets>
  <definedNames>
    <definedName name="_xlnm._FilterDatabase" localSheetId="4" hidden="1">Diferencias!$A$5:$F$22</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V36" i="1" l="1"/>
  <c r="Q36" i="1"/>
  <c r="U36" i="1" s="1"/>
  <c r="Z36" i="1" s="1"/>
  <c r="V35" i="1"/>
  <c r="Q35" i="1"/>
  <c r="AB36" i="1"/>
  <c r="AB35" i="1"/>
  <c r="AB28" i="1"/>
  <c r="AB27" i="1"/>
  <c r="Z35" i="1"/>
  <c r="Y36" i="1"/>
  <c r="Y35" i="1"/>
  <c r="Y33" i="1"/>
  <c r="Y32" i="1"/>
  <c r="Y28" i="1"/>
  <c r="Y27" i="1"/>
  <c r="U35" i="1"/>
  <c r="U34" i="1"/>
  <c r="Z34" i="1" s="1"/>
  <c r="U33" i="1"/>
  <c r="Z33" i="1" s="1"/>
  <c r="U29" i="1"/>
  <c r="Z29" i="1" s="1"/>
  <c r="U28" i="1"/>
  <c r="Z28" i="1" s="1"/>
  <c r="T34" i="1"/>
  <c r="W36" i="1"/>
  <c r="W35" i="1"/>
  <c r="W34" i="1"/>
  <c r="AB34" i="1" s="1"/>
  <c r="W33" i="1"/>
  <c r="AB33" i="1" s="1"/>
  <c r="W32" i="1"/>
  <c r="AB32" i="1" s="1"/>
  <c r="W31" i="1"/>
  <c r="AB31" i="1" s="1"/>
  <c r="W30" i="1"/>
  <c r="AB30" i="1" s="1"/>
  <c r="W29" i="1"/>
  <c r="AB29" i="1" s="1"/>
  <c r="W28" i="1"/>
  <c r="W27" i="1"/>
  <c r="V34" i="1"/>
  <c r="Y34" i="1" s="1"/>
  <c r="V33" i="1"/>
  <c r="V32" i="1"/>
  <c r="V31" i="1"/>
  <c r="Y31" i="1" s="1"/>
  <c r="V30" i="1"/>
  <c r="Y30" i="1" s="1"/>
  <c r="V29" i="1"/>
  <c r="Y29" i="1" s="1"/>
  <c r="V28" i="1"/>
  <c r="V27" i="1"/>
  <c r="Q34" i="1"/>
  <c r="R34" i="1" s="1"/>
  <c r="Q33" i="1"/>
  <c r="Q32" i="1"/>
  <c r="U32" i="1" s="1"/>
  <c r="Z32" i="1" s="1"/>
  <c r="Q31" i="1"/>
  <c r="R31" i="1" s="1"/>
  <c r="Q28" i="1"/>
  <c r="Q29" i="1"/>
  <c r="Q30" i="1"/>
  <c r="U30" i="1" s="1"/>
  <c r="Z30" i="1" s="1"/>
  <c r="Q27" i="1"/>
  <c r="R27" i="1" s="1"/>
  <c r="N36" i="1"/>
  <c r="O36" i="1"/>
  <c r="N35" i="1"/>
  <c r="O35" i="1" s="1"/>
  <c r="AL36" i="1"/>
  <c r="AM36" i="1" s="1"/>
  <c r="AN36" i="1"/>
  <c r="AO36" i="1" s="1"/>
  <c r="T33" i="1" s="1"/>
  <c r="N34" i="1"/>
  <c r="O34" i="1" s="1"/>
  <c r="N33" i="1"/>
  <c r="O33" i="1" s="1"/>
  <c r="N32" i="1"/>
  <c r="O32" i="1" s="1"/>
  <c r="N31" i="1"/>
  <c r="O31" i="1" s="1"/>
  <c r="N30" i="1"/>
  <c r="R30" i="1" s="1"/>
  <c r="N29" i="1"/>
  <c r="O29" i="1" s="1"/>
  <c r="N28" i="1"/>
  <c r="O28" i="1" s="1"/>
  <c r="N27" i="1"/>
  <c r="O27" i="1" s="1"/>
  <c r="AJ26" i="1"/>
  <c r="AN26" i="1" s="1"/>
  <c r="AK26" i="1"/>
  <c r="AL26" i="1" s="1"/>
  <c r="AM26" i="1" s="1"/>
  <c r="C3" i="1"/>
  <c r="C4" i="1"/>
  <c r="C5" i="1"/>
  <c r="C6" i="1"/>
  <c r="C7" i="1"/>
  <c r="C8" i="1"/>
  <c r="C9" i="1"/>
  <c r="C10" i="1"/>
  <c r="C11" i="1"/>
  <c r="C12" i="1"/>
  <c r="C13" i="1"/>
  <c r="C14" i="1"/>
  <c r="C15" i="1"/>
  <c r="C16" i="1"/>
  <c r="C17" i="1"/>
  <c r="C18" i="1"/>
  <c r="C19" i="1"/>
  <c r="C20" i="1"/>
  <c r="C21" i="1"/>
  <c r="C22" i="1"/>
  <c r="C23" i="1"/>
  <c r="C24" i="1"/>
  <c r="C25" i="1"/>
  <c r="C26" i="1"/>
  <c r="C27" i="1"/>
  <c r="C2" i="1"/>
  <c r="AB26" i="1"/>
  <c r="AB25" i="1"/>
  <c r="AB24" i="1"/>
  <c r="AB23" i="1"/>
  <c r="AB22" i="1"/>
  <c r="AB21" i="1"/>
  <c r="V26" i="1"/>
  <c r="Y26" i="1" s="1"/>
  <c r="Q26" i="1"/>
  <c r="U26" i="1" s="1"/>
  <c r="Z26" i="1" s="1"/>
  <c r="O26" i="1"/>
  <c r="W18" i="1"/>
  <c r="W17" i="1"/>
  <c r="AB17" i="1" s="1"/>
  <c r="W16" i="1"/>
  <c r="AB16" i="1" s="1"/>
  <c r="W15" i="1"/>
  <c r="AB15" i="1" s="1"/>
  <c r="W14" i="1"/>
  <c r="W13" i="1"/>
  <c r="AB13" i="1" s="1"/>
  <c r="V18" i="1"/>
  <c r="Y18" i="1" s="1"/>
  <c r="V17" i="1"/>
  <c r="Y17" i="1" s="1"/>
  <c r="V16" i="1"/>
  <c r="Y16" i="1" s="1"/>
  <c r="V15" i="1"/>
  <c r="Y15" i="1" s="1"/>
  <c r="V14" i="1"/>
  <c r="Y14" i="1" s="1"/>
  <c r="V13" i="1"/>
  <c r="Y13" i="1" s="1"/>
  <c r="V21" i="1"/>
  <c r="Y21" i="1" s="1"/>
  <c r="V25" i="1"/>
  <c r="Y25" i="1" s="1"/>
  <c r="V24" i="1"/>
  <c r="Y24" i="1" s="1"/>
  <c r="V22" i="1"/>
  <c r="Y22" i="1" s="1"/>
  <c r="V23" i="1"/>
  <c r="Y23" i="1" s="1"/>
  <c r="O25" i="1"/>
  <c r="O24" i="1"/>
  <c r="O23" i="1"/>
  <c r="O22" i="1"/>
  <c r="O21" i="1"/>
  <c r="R23" i="1"/>
  <c r="Q23" i="1"/>
  <c r="U23" i="1" s="1"/>
  <c r="Z23" i="1" s="1"/>
  <c r="Q22" i="1"/>
  <c r="U22" i="1" s="1"/>
  <c r="Z22" i="1" s="1"/>
  <c r="Q25" i="1"/>
  <c r="U25" i="1" s="1"/>
  <c r="Z25" i="1" s="1"/>
  <c r="Q24" i="1"/>
  <c r="R24" i="1" s="1"/>
  <c r="Q21" i="1"/>
  <c r="R21" i="1" s="1"/>
  <c r="D30" i="3"/>
  <c r="D29" i="3"/>
  <c r="D28" i="3"/>
  <c r="E22" i="3"/>
  <c r="E21" i="3"/>
  <c r="D15" i="3"/>
  <c r="E23" i="3" s="1"/>
  <c r="C27" i="2"/>
  <c r="B27" i="2"/>
  <c r="H27" i="2" s="1"/>
  <c r="A27" i="2"/>
  <c r="N27" i="2" s="1"/>
  <c r="C26" i="2"/>
  <c r="B26" i="2"/>
  <c r="H26" i="2" s="1"/>
  <c r="A26" i="2"/>
  <c r="N26" i="2" s="1"/>
  <c r="C25" i="2"/>
  <c r="B25" i="2"/>
  <c r="H25" i="2" s="1"/>
  <c r="A25" i="2"/>
  <c r="N25" i="2" s="1"/>
  <c r="C24" i="2"/>
  <c r="B24" i="2"/>
  <c r="H24" i="2" s="1"/>
  <c r="A24" i="2"/>
  <c r="N24" i="2" s="1"/>
  <c r="C23" i="2"/>
  <c r="B23" i="2"/>
  <c r="H23" i="2" s="1"/>
  <c r="A23" i="2"/>
  <c r="N23" i="2" s="1"/>
  <c r="C22" i="2"/>
  <c r="B22" i="2"/>
  <c r="H22" i="2" s="1"/>
  <c r="A22" i="2"/>
  <c r="N22" i="2" s="1"/>
  <c r="C21" i="2"/>
  <c r="B21" i="2"/>
  <c r="H21" i="2" s="1"/>
  <c r="A21" i="2"/>
  <c r="N21" i="2" s="1"/>
  <c r="C20" i="2"/>
  <c r="B20" i="2"/>
  <c r="H20" i="2" s="1"/>
  <c r="A20" i="2"/>
  <c r="N20" i="2" s="1"/>
  <c r="C19" i="2"/>
  <c r="B19" i="2"/>
  <c r="H19" i="2" s="1"/>
  <c r="A19" i="2"/>
  <c r="C18" i="2"/>
  <c r="B18" i="2"/>
  <c r="H18" i="2" s="1"/>
  <c r="A18" i="2"/>
  <c r="C17" i="2"/>
  <c r="B17" i="2"/>
  <c r="H17" i="2" s="1"/>
  <c r="A17" i="2"/>
  <c r="C16" i="2"/>
  <c r="B16" i="2"/>
  <c r="H16" i="2" s="1"/>
  <c r="A16" i="2"/>
  <c r="C15" i="2"/>
  <c r="B15" i="2"/>
  <c r="H15" i="2" s="1"/>
  <c r="A15" i="2"/>
  <c r="C14" i="2"/>
  <c r="B14" i="2"/>
  <c r="H14" i="2" s="1"/>
  <c r="A14" i="2"/>
  <c r="C13" i="2"/>
  <c r="B13" i="2"/>
  <c r="H13" i="2" s="1"/>
  <c r="A13" i="2"/>
  <c r="C12" i="2"/>
  <c r="B12" i="2"/>
  <c r="H12" i="2" s="1"/>
  <c r="A12" i="2"/>
  <c r="C11" i="2"/>
  <c r="B11" i="2"/>
  <c r="H11" i="2" s="1"/>
  <c r="A11" i="2"/>
  <c r="C10" i="2"/>
  <c r="B10" i="2"/>
  <c r="H10" i="2" s="1"/>
  <c r="A10" i="2"/>
  <c r="N10" i="2" s="1"/>
  <c r="C9" i="2"/>
  <c r="B9" i="2"/>
  <c r="H9" i="2" s="1"/>
  <c r="A9" i="2"/>
  <c r="N9" i="2" s="1"/>
  <c r="AN20" i="1"/>
  <c r="AL20" i="1"/>
  <c r="AM20" i="1" s="1"/>
  <c r="W20" i="1"/>
  <c r="AB20" i="1" s="1"/>
  <c r="V20" i="1"/>
  <c r="Y20" i="1" s="1"/>
  <c r="Q20" i="1"/>
  <c r="U20" i="1" s="1"/>
  <c r="O20" i="1"/>
  <c r="W19" i="1"/>
  <c r="AB19" i="1" s="1"/>
  <c r="V19" i="1"/>
  <c r="Y19" i="1" s="1"/>
  <c r="Q19" i="1"/>
  <c r="U19" i="1" s="1"/>
  <c r="O19" i="1"/>
  <c r="AN18" i="1"/>
  <c r="AL18" i="1"/>
  <c r="AM18" i="1" s="1"/>
  <c r="AB18" i="1"/>
  <c r="S18" i="1"/>
  <c r="Q18" i="1"/>
  <c r="N18" i="1"/>
  <c r="S17" i="1"/>
  <c r="Q17" i="1"/>
  <c r="N17" i="1"/>
  <c r="S16" i="1"/>
  <c r="Q16" i="1"/>
  <c r="N16" i="1"/>
  <c r="S15" i="1"/>
  <c r="Q15" i="1"/>
  <c r="N15" i="1"/>
  <c r="AB14" i="1"/>
  <c r="S14" i="1"/>
  <c r="Q14" i="1"/>
  <c r="N14" i="1"/>
  <c r="O14" i="1" s="1"/>
  <c r="S13" i="1"/>
  <c r="Q13" i="1"/>
  <c r="N13" i="1"/>
  <c r="O13" i="1" s="1"/>
  <c r="W12" i="1"/>
  <c r="AB12" i="1" s="1"/>
  <c r="V12" i="1"/>
  <c r="Y12" i="1" s="1"/>
  <c r="S12" i="1"/>
  <c r="Q12" i="1"/>
  <c r="N12" i="1"/>
  <c r="O12" i="1" s="1"/>
  <c r="W11" i="1"/>
  <c r="AB11" i="1" s="1"/>
  <c r="V11" i="1"/>
  <c r="Y11" i="1" s="1"/>
  <c r="S11" i="1"/>
  <c r="Q11" i="1"/>
  <c r="N11" i="1"/>
  <c r="O11" i="1" s="1"/>
  <c r="W10" i="1"/>
  <c r="AB10" i="1" s="1"/>
  <c r="V10" i="1"/>
  <c r="Y10" i="1" s="1"/>
  <c r="S10" i="1"/>
  <c r="Q10" i="1"/>
  <c r="U10" i="1" s="1"/>
  <c r="N10" i="1"/>
  <c r="W9" i="1"/>
  <c r="AB9" i="1" s="1"/>
  <c r="V9" i="1"/>
  <c r="Y9" i="1" s="1"/>
  <c r="S9" i="1"/>
  <c r="Q9" i="1"/>
  <c r="N9" i="1"/>
  <c r="O9" i="1" s="1"/>
  <c r="W8" i="1"/>
  <c r="AB8" i="1" s="1"/>
  <c r="V8" i="1"/>
  <c r="Y8" i="1" s="1"/>
  <c r="S8" i="1"/>
  <c r="Q8" i="1"/>
  <c r="N8" i="1"/>
  <c r="O8" i="1" s="1"/>
  <c r="W7" i="1"/>
  <c r="AB7" i="1" s="1"/>
  <c r="V7" i="1"/>
  <c r="Y7" i="1" s="1"/>
  <c r="S7" i="1"/>
  <c r="Q7" i="1"/>
  <c r="N7" i="1"/>
  <c r="O7" i="1" s="1"/>
  <c r="W6" i="1"/>
  <c r="AB6" i="1" s="1"/>
  <c r="V6" i="1"/>
  <c r="Y6" i="1" s="1"/>
  <c r="S6" i="1"/>
  <c r="Q6" i="1"/>
  <c r="N6" i="1"/>
  <c r="O6" i="1" s="1"/>
  <c r="W5" i="1"/>
  <c r="AB5" i="1" s="1"/>
  <c r="V5" i="1"/>
  <c r="Y5" i="1" s="1"/>
  <c r="S5" i="1"/>
  <c r="Q5" i="1"/>
  <c r="N5" i="1"/>
  <c r="W4" i="1"/>
  <c r="V4" i="1"/>
  <c r="Y4" i="1" s="1"/>
  <c r="S4" i="1"/>
  <c r="Q4" i="1"/>
  <c r="N4" i="1"/>
  <c r="O4" i="1" s="1"/>
  <c r="AN3" i="1"/>
  <c r="AL3" i="1"/>
  <c r="AM3" i="1" s="1"/>
  <c r="AA3" i="1"/>
  <c r="AB3" i="1" s="1"/>
  <c r="Y3" i="1"/>
  <c r="Q3" i="1"/>
  <c r="U3" i="1" s="1"/>
  <c r="Z3" i="1" s="1"/>
  <c r="F10" i="2" s="1"/>
  <c r="C22" i="3" s="1"/>
  <c r="D22" i="3" s="1"/>
  <c r="F22" i="3" s="1"/>
  <c r="O3" i="1"/>
  <c r="AB2" i="1"/>
  <c r="Y2" i="1"/>
  <c r="U2" i="1"/>
  <c r="Z2" i="1" s="1"/>
  <c r="F9" i="2" s="1"/>
  <c r="R2" i="1"/>
  <c r="E9" i="2" s="1"/>
  <c r="O2" i="1"/>
  <c r="T35" i="1" l="1"/>
  <c r="T36" i="1"/>
  <c r="T28" i="1"/>
  <c r="T27" i="1"/>
  <c r="T30" i="1"/>
  <c r="AD36" i="1"/>
  <c r="AD28" i="1"/>
  <c r="P28" i="1"/>
  <c r="AC30" i="1"/>
  <c r="AD30" i="1"/>
  <c r="AC29" i="1"/>
  <c r="AD29" i="1"/>
  <c r="P29" i="1"/>
  <c r="AC31" i="1"/>
  <c r="AD31" i="1"/>
  <c r="AC32" i="1"/>
  <c r="AD32" i="1"/>
  <c r="AC34" i="1"/>
  <c r="AE34" i="1" s="1"/>
  <c r="AG34" i="1" s="1"/>
  <c r="AH34" i="1" s="1"/>
  <c r="AD34" i="1"/>
  <c r="AC33" i="1"/>
  <c r="AE33" i="1" s="1"/>
  <c r="AD33" i="1"/>
  <c r="O30" i="1"/>
  <c r="R32" i="1"/>
  <c r="AC35" i="1"/>
  <c r="AE35" i="1" s="1"/>
  <c r="AG35" i="1" s="1"/>
  <c r="AH35" i="1" s="1"/>
  <c r="R33" i="1"/>
  <c r="U27" i="1"/>
  <c r="Z27" i="1" s="1"/>
  <c r="AC28" i="1"/>
  <c r="AE28" i="1" s="1"/>
  <c r="AG28" i="1" s="1"/>
  <c r="AH28" i="1" s="1"/>
  <c r="AC36" i="1"/>
  <c r="AE36" i="1" s="1"/>
  <c r="AG36" i="1" s="1"/>
  <c r="AH36" i="1" s="1"/>
  <c r="AC27" i="1"/>
  <c r="P31" i="1"/>
  <c r="T29" i="1"/>
  <c r="AD27" i="1"/>
  <c r="AD35" i="1"/>
  <c r="R35" i="1"/>
  <c r="R28" i="1"/>
  <c r="P33" i="1"/>
  <c r="T31" i="1"/>
  <c r="R29" i="1"/>
  <c r="P34" i="1"/>
  <c r="T32" i="1"/>
  <c r="U31" i="1"/>
  <c r="Z31" i="1" s="1"/>
  <c r="P27" i="1"/>
  <c r="P35" i="1"/>
  <c r="R36" i="1"/>
  <c r="AF28" i="1"/>
  <c r="P36" i="1"/>
  <c r="AQ36" i="1"/>
  <c r="AD21" i="1"/>
  <c r="AD23" i="1"/>
  <c r="U12" i="1"/>
  <c r="Z20" i="1"/>
  <c r="F27" i="2" s="1"/>
  <c r="C24" i="3" s="1"/>
  <c r="D24" i="3" s="1"/>
  <c r="AD20" i="1"/>
  <c r="AD2" i="1"/>
  <c r="U4" i="1"/>
  <c r="Z4" i="1" s="1"/>
  <c r="F11" i="2" s="1"/>
  <c r="AD19" i="1"/>
  <c r="R5" i="1"/>
  <c r="E12" i="2" s="1"/>
  <c r="AD26" i="1"/>
  <c r="R26" i="1"/>
  <c r="AD22" i="1"/>
  <c r="U16" i="1"/>
  <c r="Z16" i="1" s="1"/>
  <c r="F23" i="2" s="1"/>
  <c r="R22" i="1"/>
  <c r="AD24" i="1"/>
  <c r="AC20" i="1"/>
  <c r="AE20" i="1" s="1"/>
  <c r="AG20" i="1" s="1"/>
  <c r="AC2" i="1"/>
  <c r="AD6" i="1"/>
  <c r="AD10" i="1"/>
  <c r="Z12" i="1"/>
  <c r="F19" i="2" s="1"/>
  <c r="AD13" i="1"/>
  <c r="U15" i="1"/>
  <c r="Z15" i="1" s="1"/>
  <c r="F22" i="2" s="1"/>
  <c r="R7" i="1"/>
  <c r="E14" i="2" s="1"/>
  <c r="U8" i="1"/>
  <c r="Z8" i="1" s="1"/>
  <c r="F15" i="2" s="1"/>
  <c r="AD15" i="1"/>
  <c r="R25" i="1"/>
  <c r="U11" i="1"/>
  <c r="Z11" i="1" s="1"/>
  <c r="F18" i="2" s="1"/>
  <c r="U14" i="1"/>
  <c r="Z14" i="1" s="1"/>
  <c r="F21" i="2" s="1"/>
  <c r="R18" i="1"/>
  <c r="E25" i="2" s="1"/>
  <c r="AD5" i="1"/>
  <c r="AD12" i="1"/>
  <c r="R3" i="1"/>
  <c r="E10" i="2" s="1"/>
  <c r="U7" i="1"/>
  <c r="Z7" i="1" s="1"/>
  <c r="F14" i="2" s="1"/>
  <c r="AD8" i="1"/>
  <c r="R10" i="1"/>
  <c r="E17" i="2" s="1"/>
  <c r="U18" i="1"/>
  <c r="Z18" i="1" s="1"/>
  <c r="F25" i="2" s="1"/>
  <c r="AC22" i="1"/>
  <c r="U6" i="1"/>
  <c r="Z6" i="1" s="1"/>
  <c r="F13" i="2" s="1"/>
  <c r="Z10" i="1"/>
  <c r="F17" i="2" s="1"/>
  <c r="AD11" i="1"/>
  <c r="AD14" i="1"/>
  <c r="AC3" i="1"/>
  <c r="U13" i="1"/>
  <c r="Z13" i="1" s="1"/>
  <c r="F20" i="2" s="1"/>
  <c r="R15" i="1"/>
  <c r="E22" i="2" s="1"/>
  <c r="R20" i="1"/>
  <c r="E27" i="2" s="1"/>
  <c r="AC23" i="1"/>
  <c r="AD25" i="1"/>
  <c r="AD3" i="1"/>
  <c r="AE3" i="1" s="1"/>
  <c r="R12" i="1"/>
  <c r="E19" i="2" s="1"/>
  <c r="R16" i="1"/>
  <c r="E23" i="2" s="1"/>
  <c r="U17" i="1"/>
  <c r="Z17" i="1" s="1"/>
  <c r="F24" i="2" s="1"/>
  <c r="U24" i="1"/>
  <c r="Z24" i="1" s="1"/>
  <c r="AC24" i="1"/>
  <c r="R6" i="1"/>
  <c r="E13" i="2" s="1"/>
  <c r="AO26" i="1"/>
  <c r="AQ26" i="1" s="1"/>
  <c r="AC25" i="1"/>
  <c r="AC19" i="1"/>
  <c r="AC26" i="1"/>
  <c r="AO3" i="1"/>
  <c r="AQ3" i="1" s="1"/>
  <c r="U5" i="1"/>
  <c r="Z5" i="1" s="1"/>
  <c r="F12" i="2" s="1"/>
  <c r="R11" i="1"/>
  <c r="E18" i="2" s="1"/>
  <c r="O18" i="1"/>
  <c r="Z19" i="1"/>
  <c r="F26" i="2" s="1"/>
  <c r="C23" i="3" s="1"/>
  <c r="D23" i="3" s="1"/>
  <c r="F23" i="3" s="1"/>
  <c r="AO20" i="1"/>
  <c r="AQ20" i="1" s="1"/>
  <c r="R19" i="1"/>
  <c r="E26" i="2" s="1"/>
  <c r="AD16" i="1"/>
  <c r="U21" i="1"/>
  <c r="Z21" i="1" s="1"/>
  <c r="AC21" i="1"/>
  <c r="AE2" i="1"/>
  <c r="AF2" i="1" s="1"/>
  <c r="U9" i="1"/>
  <c r="Z9" i="1" s="1"/>
  <c r="F16" i="2" s="1"/>
  <c r="R17" i="1"/>
  <c r="E24" i="2" s="1"/>
  <c r="AC17" i="1"/>
  <c r="I16" i="2"/>
  <c r="I18" i="2"/>
  <c r="I20" i="2"/>
  <c r="I24" i="2"/>
  <c r="AD18" i="1"/>
  <c r="AC18" i="1"/>
  <c r="AE18" i="1" s="1"/>
  <c r="I15" i="2"/>
  <c r="I11" i="2"/>
  <c r="I27" i="2"/>
  <c r="C21" i="3"/>
  <c r="D21" i="3" s="1"/>
  <c r="F21" i="3" s="1"/>
  <c r="AD7" i="1"/>
  <c r="AC7" i="1"/>
  <c r="I14" i="2"/>
  <c r="I17" i="2"/>
  <c r="I9" i="2"/>
  <c r="I23" i="2"/>
  <c r="R8" i="1"/>
  <c r="E15" i="2" s="1"/>
  <c r="AC13" i="1"/>
  <c r="AE13" i="1" s="1"/>
  <c r="O15" i="1"/>
  <c r="AB4" i="1"/>
  <c r="AD4" i="1" s="1"/>
  <c r="O5" i="1"/>
  <c r="AD9" i="1"/>
  <c r="O10" i="1"/>
  <c r="R14" i="1"/>
  <c r="E21" i="2" s="1"/>
  <c r="AC14" i="1"/>
  <c r="R13" i="1"/>
  <c r="E20" i="2" s="1"/>
  <c r="R4" i="1"/>
  <c r="E11" i="2" s="1"/>
  <c r="R9" i="1"/>
  <c r="E16" i="2" s="1"/>
  <c r="AC9" i="1"/>
  <c r="O16" i="1"/>
  <c r="AC10" i="1"/>
  <c r="AE10" i="1" s="1"/>
  <c r="AC15" i="1"/>
  <c r="AE15" i="1" s="1"/>
  <c r="O17" i="1"/>
  <c r="I21" i="2"/>
  <c r="AO18" i="1"/>
  <c r="AQ18" i="1" s="1"/>
  <c r="AC5" i="1"/>
  <c r="AC16" i="1"/>
  <c r="I10" i="2"/>
  <c r="I12" i="2"/>
  <c r="I19" i="2"/>
  <c r="AC6" i="1"/>
  <c r="AC11" i="1"/>
  <c r="AD17" i="1"/>
  <c r="I26" i="2"/>
  <c r="AC8" i="1"/>
  <c r="AE8" i="1" s="1"/>
  <c r="I13" i="2"/>
  <c r="I22" i="2"/>
  <c r="I25" i="2"/>
  <c r="AC12" i="1"/>
  <c r="E24" i="3"/>
  <c r="AE31" i="1" l="1"/>
  <c r="AE30" i="1"/>
  <c r="AE24" i="1"/>
  <c r="AF36" i="1"/>
  <c r="AF33" i="1"/>
  <c r="AG33" i="1"/>
  <c r="AH33" i="1" s="1"/>
  <c r="AF34" i="1"/>
  <c r="AE29" i="1"/>
  <c r="F24" i="3"/>
  <c r="AE11" i="1"/>
  <c r="AE19" i="1"/>
  <c r="AF19" i="1" s="1"/>
  <c r="AF35" i="1"/>
  <c r="P30" i="1"/>
  <c r="AE32" i="1"/>
  <c r="P32" i="1"/>
  <c r="AE27" i="1"/>
  <c r="D34" i="2"/>
  <c r="AE23" i="1"/>
  <c r="AF23" i="1" s="1"/>
  <c r="AE21" i="1"/>
  <c r="AF21" i="1" s="1"/>
  <c r="AE26" i="1"/>
  <c r="AF26" i="1" s="1"/>
  <c r="AE6" i="1"/>
  <c r="AF6" i="1" s="1"/>
  <c r="AE14" i="1"/>
  <c r="AG14" i="1" s="1"/>
  <c r="AE22" i="1"/>
  <c r="AG22" i="1" s="1"/>
  <c r="AH22" i="1" s="1"/>
  <c r="AF20" i="1"/>
  <c r="AE25" i="1"/>
  <c r="AG25" i="1" s="1"/>
  <c r="AH25" i="1" s="1"/>
  <c r="O1048576" i="1"/>
  <c r="AI30" i="1" s="1"/>
  <c r="AE5" i="1"/>
  <c r="AF5" i="1" s="1"/>
  <c r="AE17" i="1"/>
  <c r="AG17" i="1" s="1"/>
  <c r="AG2" i="1"/>
  <c r="P20" i="1"/>
  <c r="AE12" i="1"/>
  <c r="AG12" i="1" s="1"/>
  <c r="AG3" i="1"/>
  <c r="AH3" i="1" s="1"/>
  <c r="AF3" i="1"/>
  <c r="AE9" i="1"/>
  <c r="AG9" i="1" s="1"/>
  <c r="AG19" i="1"/>
  <c r="AH19" i="1" s="1"/>
  <c r="P26" i="1"/>
  <c r="P25" i="1"/>
  <c r="T26" i="1"/>
  <c r="P24" i="1"/>
  <c r="T25" i="1"/>
  <c r="P23" i="1"/>
  <c r="T24" i="1"/>
  <c r="P22" i="1"/>
  <c r="T23" i="1"/>
  <c r="P21" i="1"/>
  <c r="T22" i="1"/>
  <c r="T21" i="1"/>
  <c r="P2" i="1"/>
  <c r="T3" i="1"/>
  <c r="G10" i="2" s="1"/>
  <c r="B22" i="3" s="1"/>
  <c r="H22" i="3" s="1"/>
  <c r="T2" i="1"/>
  <c r="G9" i="2" s="1"/>
  <c r="P19" i="1"/>
  <c r="T19" i="1"/>
  <c r="G26" i="2" s="1"/>
  <c r="B23" i="3" s="1"/>
  <c r="T20" i="1"/>
  <c r="G27" i="2" s="1"/>
  <c r="B24" i="3" s="1"/>
  <c r="G24" i="3" s="1"/>
  <c r="AE16" i="1"/>
  <c r="AG16" i="1" s="1"/>
  <c r="P3" i="1"/>
  <c r="AF24" i="1"/>
  <c r="AG24" i="1"/>
  <c r="AH24" i="1" s="1"/>
  <c r="K11" i="2"/>
  <c r="K9" i="2"/>
  <c r="AG11" i="1"/>
  <c r="AF11" i="1"/>
  <c r="K22" i="2"/>
  <c r="K26" i="2"/>
  <c r="K20" i="2"/>
  <c r="K25" i="2"/>
  <c r="K18" i="2"/>
  <c r="AG6" i="1"/>
  <c r="K23" i="2"/>
  <c r="D27" i="2"/>
  <c r="AH20" i="1"/>
  <c r="AF9" i="1"/>
  <c r="AG13" i="1"/>
  <c r="AF13" i="1"/>
  <c r="K10" i="2"/>
  <c r="K12" i="2"/>
  <c r="K14" i="2"/>
  <c r="AG18" i="1"/>
  <c r="AF18" i="1"/>
  <c r="AG15" i="1"/>
  <c r="AF15" i="1"/>
  <c r="K16" i="2"/>
  <c r="AF14" i="1"/>
  <c r="K15" i="2"/>
  <c r="K24" i="2"/>
  <c r="K13" i="2"/>
  <c r="P18" i="1"/>
  <c r="T17" i="1"/>
  <c r="G24" i="2" s="1"/>
  <c r="P16" i="1"/>
  <c r="T15" i="1"/>
  <c r="G22" i="2" s="1"/>
  <c r="P14" i="1"/>
  <c r="T13" i="1"/>
  <c r="G20" i="2" s="1"/>
  <c r="P12" i="1"/>
  <c r="T11" i="1"/>
  <c r="G18" i="2" s="1"/>
  <c r="P10" i="1"/>
  <c r="T9" i="1"/>
  <c r="G16" i="2" s="1"/>
  <c r="P8" i="1"/>
  <c r="T7" i="1"/>
  <c r="G14" i="2" s="1"/>
  <c r="P6" i="1"/>
  <c r="T5" i="1"/>
  <c r="G12" i="2" s="1"/>
  <c r="P4" i="1"/>
  <c r="T16" i="1"/>
  <c r="G23" i="2" s="1"/>
  <c r="P13" i="1"/>
  <c r="P7" i="1"/>
  <c r="T10" i="1"/>
  <c r="G17" i="2" s="1"/>
  <c r="P17" i="1"/>
  <c r="T4" i="1"/>
  <c r="G11" i="2" s="1"/>
  <c r="T12" i="1"/>
  <c r="G19" i="2" s="1"/>
  <c r="T14" i="1"/>
  <c r="G21" i="2" s="1"/>
  <c r="P11" i="1"/>
  <c r="T6" i="1"/>
  <c r="G13" i="2" s="1"/>
  <c r="T8" i="1"/>
  <c r="G15" i="2" s="1"/>
  <c r="P5" i="1"/>
  <c r="P9" i="1"/>
  <c r="T18" i="1"/>
  <c r="G25" i="2" s="1"/>
  <c r="P15" i="1"/>
  <c r="AG8" i="1"/>
  <c r="AF8" i="1"/>
  <c r="AF10" i="1"/>
  <c r="AG10" i="1"/>
  <c r="AC4" i="1"/>
  <c r="AE4" i="1" s="1"/>
  <c r="K21" i="2"/>
  <c r="K17" i="2"/>
  <c r="K19" i="2"/>
  <c r="B21" i="3"/>
  <c r="AF16" i="1"/>
  <c r="AE7" i="1"/>
  <c r="K27" i="2"/>
  <c r="D9" i="2"/>
  <c r="AH2" i="1"/>
  <c r="AG26" i="1" l="1"/>
  <c r="AH26" i="1" s="1"/>
  <c r="AG29" i="1"/>
  <c r="AH29" i="1" s="1"/>
  <c r="AF29" i="1"/>
  <c r="AF32" i="1"/>
  <c r="AG32" i="1"/>
  <c r="AH32" i="1" s="1"/>
  <c r="AI22" i="1"/>
  <c r="AI32" i="1"/>
  <c r="AI35" i="1"/>
  <c r="AI27" i="1"/>
  <c r="AI33" i="1"/>
  <c r="AI34" i="1"/>
  <c r="AI28" i="1"/>
  <c r="AI29" i="1"/>
  <c r="AI31" i="1"/>
  <c r="AI36" i="1"/>
  <c r="AG30" i="1"/>
  <c r="AH30" i="1" s="1"/>
  <c r="AF30" i="1"/>
  <c r="AG5" i="1"/>
  <c r="AG21" i="1"/>
  <c r="AH21" i="1" s="1"/>
  <c r="AG27" i="1"/>
  <c r="AH27" i="1" s="1"/>
  <c r="AF27" i="1"/>
  <c r="AF31" i="1"/>
  <c r="AG31" i="1"/>
  <c r="AH31" i="1" s="1"/>
  <c r="AG23" i="1"/>
  <c r="AH23" i="1" s="1"/>
  <c r="AF25" i="1"/>
  <c r="AF22" i="1"/>
  <c r="D26" i="2"/>
  <c r="D32" i="2"/>
  <c r="D37" i="2" s="1"/>
  <c r="D31" i="2"/>
  <c r="G22" i="3"/>
  <c r="H24" i="3"/>
  <c r="AF17" i="1"/>
  <c r="D10" i="2"/>
  <c r="H23" i="3"/>
  <c r="G23" i="3"/>
  <c r="AI15" i="1"/>
  <c r="AI13" i="1"/>
  <c r="AI25" i="1"/>
  <c r="AI19" i="1"/>
  <c r="AI5" i="1"/>
  <c r="AI7" i="1"/>
  <c r="AI21" i="1"/>
  <c r="AI4" i="1"/>
  <c r="AF12" i="1"/>
  <c r="AI3" i="1"/>
  <c r="AI11" i="1"/>
  <c r="AI23" i="1"/>
  <c r="AI26" i="1"/>
  <c r="AI17" i="1"/>
  <c r="AI14" i="1"/>
  <c r="AI8" i="1"/>
  <c r="AI6" i="1"/>
  <c r="AI20" i="1"/>
  <c r="AI24" i="1"/>
  <c r="AI2" i="1"/>
  <c r="AI16" i="1"/>
  <c r="AI12" i="1"/>
  <c r="AI10" i="1"/>
  <c r="AI18" i="1"/>
  <c r="AI9" i="1"/>
  <c r="D15" i="2"/>
  <c r="AH8" i="1"/>
  <c r="D23" i="2"/>
  <c r="AH16" i="1"/>
  <c r="AH9" i="1"/>
  <c r="D16" i="2"/>
  <c r="AG4" i="1"/>
  <c r="AF4" i="1"/>
  <c r="AH15" i="1"/>
  <c r="D22" i="2"/>
  <c r="AH5" i="1"/>
  <c r="D12" i="2"/>
  <c r="H21" i="3"/>
  <c r="G21" i="3"/>
  <c r="B25" i="3"/>
  <c r="AH10" i="1"/>
  <c r="D17" i="2"/>
  <c r="AH6" i="1"/>
  <c r="D13" i="2"/>
  <c r="D19" i="2"/>
  <c r="AH12" i="1"/>
  <c r="D18" i="2"/>
  <c r="AH11" i="1"/>
  <c r="AG7" i="1"/>
  <c r="AF7" i="1"/>
  <c r="AH14" i="1"/>
  <c r="D21" i="2"/>
  <c r="AH18" i="1"/>
  <c r="D25" i="2"/>
  <c r="D20" i="2"/>
  <c r="AH13" i="1"/>
  <c r="D24" i="2"/>
  <c r="AH17" i="1"/>
  <c r="G25" i="3" l="1"/>
  <c r="C6" i="3" s="1"/>
  <c r="H25" i="3"/>
  <c r="F37" i="2"/>
  <c r="G37" i="2" s="1"/>
  <c r="D33" i="2"/>
  <c r="A6" i="3" s="1"/>
  <c r="AH7" i="1"/>
  <c r="D14" i="2"/>
  <c r="D11" i="2"/>
  <c r="J12" i="2" s="1"/>
  <c r="L12" i="2" s="1"/>
  <c r="M12" i="2" s="1"/>
  <c r="N12" i="2" s="1"/>
  <c r="AH4" i="1"/>
  <c r="E6" i="3" l="1"/>
  <c r="I25" i="3"/>
  <c r="J18" i="2"/>
  <c r="L18" i="2" s="1"/>
  <c r="M18" i="2" s="1"/>
  <c r="N18" i="2" s="1"/>
  <c r="J14" i="2"/>
  <c r="L14" i="2" s="1"/>
  <c r="M14" i="2" s="1"/>
  <c r="N14" i="2" s="1"/>
  <c r="J23" i="2"/>
  <c r="L23" i="2" s="1"/>
  <c r="M23" i="2" s="1"/>
  <c r="J15" i="2"/>
  <c r="L15" i="2" s="1"/>
  <c r="M15" i="2" s="1"/>
  <c r="N15" i="2" s="1"/>
  <c r="J17" i="2"/>
  <c r="L17" i="2" s="1"/>
  <c r="M17" i="2" s="1"/>
  <c r="N17" i="2" s="1"/>
  <c r="J19" i="2"/>
  <c r="L19" i="2" s="1"/>
  <c r="M19" i="2" s="1"/>
  <c r="N19" i="2" s="1"/>
  <c r="J24" i="2"/>
  <c r="L24" i="2" s="1"/>
  <c r="M24" i="2" s="1"/>
  <c r="J25" i="2"/>
  <c r="L25" i="2" s="1"/>
  <c r="M25" i="2" s="1"/>
  <c r="J20" i="2"/>
  <c r="L20" i="2" s="1"/>
  <c r="M20" i="2" s="1"/>
  <c r="J21" i="2"/>
  <c r="L21" i="2" s="1"/>
  <c r="M21" i="2" s="1"/>
  <c r="J16" i="2"/>
  <c r="L16" i="2" s="1"/>
  <c r="M16" i="2" s="1"/>
  <c r="N16" i="2" s="1"/>
  <c r="J22" i="2"/>
  <c r="L22" i="2" s="1"/>
  <c r="M22" i="2" s="1"/>
  <c r="J11" i="2"/>
  <c r="L11" i="2" s="1"/>
  <c r="M11" i="2" s="1"/>
  <c r="N11" i="2" s="1"/>
  <c r="J26" i="2"/>
  <c r="L26" i="2" s="1"/>
  <c r="M26" i="2" s="1"/>
  <c r="J27" i="2"/>
  <c r="L27" i="2" s="1"/>
  <c r="M27" i="2" s="1"/>
  <c r="J9" i="2"/>
  <c r="L9" i="2" s="1"/>
  <c r="M9" i="2" s="1"/>
  <c r="J10" i="2"/>
  <c r="L10" i="2" s="1"/>
  <c r="M10" i="2" s="1"/>
  <c r="J13" i="2"/>
  <c r="L13" i="2" s="1"/>
  <c r="M13" i="2" s="1"/>
  <c r="N13" i="2" s="1"/>
  <c r="C43" i="2" l="1"/>
  <c r="B43" i="2"/>
  <c r="C42" i="2"/>
  <c r="B42" i="2"/>
  <c r="C44" i="2"/>
  <c r="B44" i="2"/>
</calcChain>
</file>

<file path=xl/sharedStrings.xml><?xml version="1.0" encoding="utf-8"?>
<sst xmlns="http://schemas.openxmlformats.org/spreadsheetml/2006/main" count="815" uniqueCount="489">
  <si>
    <t>Categoría_ID_Actual</t>
  </si>
  <si>
    <t>ID_ABC</t>
  </si>
  <si>
    <t>Categoria_ABC</t>
  </si>
  <si>
    <t>Administracion_Inventario</t>
  </si>
  <si>
    <t>Color_tarjeta</t>
  </si>
  <si>
    <t>Numero de Rack</t>
  </si>
  <si>
    <t>Nivel</t>
  </si>
  <si>
    <t>Stock_Maximo (Bultos)</t>
  </si>
  <si>
    <t>Total Maximo (kg)</t>
  </si>
  <si>
    <t>USD en gasto Kwh /Kg anuales</t>
  </si>
  <si>
    <t>Volumen m3_Bulto</t>
  </si>
  <si>
    <t>Kg/m3_bulto</t>
  </si>
  <si>
    <t>Posiciones_Maximas</t>
  </si>
  <si>
    <t>USD en gasto Kwh /posicion anuales</t>
  </si>
  <si>
    <t>Total_VolumenMaximo_Producto (m3 en el espacio de los racks)</t>
  </si>
  <si>
    <t>Superficie ocupacion_Producto (m2)</t>
  </si>
  <si>
    <t>Volumen Útil total Disponible Camara (m3 según espacion de racks aire + producto )</t>
  </si>
  <si>
    <t>Superfice interna bruta total de la Camara m2</t>
  </si>
  <si>
    <t>%util superficie total camara m2</t>
  </si>
  <si>
    <t>%Utilizacion volumetrica Producto (utilzacion real del volumen de los Racks)</t>
  </si>
  <si>
    <t>Volumen interno Bruto Camara (m3)</t>
  </si>
  <si>
    <t>% Ocupacion Neto Volumen m3  Racks_(Aire+Producto)_ Total volumen camara</t>
  </si>
  <si>
    <t>Prorrateo Kw_h_anual_Rack (Aire+Producto) Camara m3</t>
  </si>
  <si>
    <t>Prorrateo Kw_h_anual_Pasillo_camara m3</t>
  </si>
  <si>
    <t>Total_Kw_h_Producto_m3</t>
  </si>
  <si>
    <t>USD de energia Kwh/m3</t>
  </si>
  <si>
    <t>USD de energia Kwh/Kg almacenado</t>
  </si>
  <si>
    <t>Prorrateo % _kg_Maximo_almacenables_camara</t>
  </si>
  <si>
    <t>% de Kg vendido al año</t>
  </si>
  <si>
    <t>% AR$ Vendido al año</t>
  </si>
  <si>
    <t>Monto anual total comprado USD</t>
  </si>
  <si>
    <t>Monto semanal  comprado promedio USD</t>
  </si>
  <si>
    <t>Kw_h anuales</t>
  </si>
  <si>
    <t>Costo Kw_h_Anuales_USD</t>
  </si>
  <si>
    <t>USD/Kwh (Ultimo)</t>
  </si>
  <si>
    <t>USD energia/ USD Comprado año</t>
  </si>
  <si>
    <t>GRANEL A</t>
  </si>
  <si>
    <t>Criticos</t>
  </si>
  <si>
    <t>AAA</t>
  </si>
  <si>
    <t>Crítico - Alta Rotación y Rentabilidad (Control Diario)</t>
  </si>
  <si>
    <t>Verde</t>
  </si>
  <si>
    <t>Izquierda_primer Rack</t>
  </si>
  <si>
    <t>ND</t>
  </si>
  <si>
    <t>GRANEL B</t>
  </si>
  <si>
    <t>Derecha_primer Rack</t>
  </si>
  <si>
    <t>BOMBON ESCOCES</t>
  </si>
  <si>
    <t>Izquierda_SEGUNDO Rack</t>
  </si>
  <si>
    <t>BOMBON SUIZO</t>
  </si>
  <si>
    <t>Rutina</t>
  </si>
  <si>
    <t>BBB</t>
  </si>
  <si>
    <t>Rutina - Baja prioridad (Reposición Automática)</t>
  </si>
  <si>
    <t>Gris</t>
  </si>
  <si>
    <t>POSTRE CASSATA</t>
  </si>
  <si>
    <t>POSTRE  ALMENDRADO</t>
  </si>
  <si>
    <t>BOMBON FRUTEZZA</t>
  </si>
  <si>
    <t>Estrategicos Financieros</t>
  </si>
  <si>
    <t>ABB</t>
  </si>
  <si>
    <t>Estratégico - Alto Margen, Bajo Espacio (Maximizar Stock)</t>
  </si>
  <si>
    <t>Azul</t>
  </si>
  <si>
    <t>POSTRE CROCANTINO</t>
  </si>
  <si>
    <t>POSTRE DELICIA</t>
  </si>
  <si>
    <t>BOMBON CROCANTE</t>
  </si>
  <si>
    <t>BOMBON SECRETO</t>
  </si>
  <si>
    <t>FAMILIARES_1</t>
  </si>
  <si>
    <t>FAMILIARES_2</t>
  </si>
  <si>
    <t>FAMILIARES_3</t>
  </si>
  <si>
    <t>FAMILIARES_4</t>
  </si>
  <si>
    <t>TENTACIONES_1 (Dulce de Leche Granizado/Chocolate con Almendras/Limon/Granizado/Cookie)</t>
  </si>
  <si>
    <t>Izquierda_TERCER Rack</t>
  </si>
  <si>
    <t>TENTACIONES_2 (Toddy galletitas/Frutilla/Crema Americana/Chocolate/Menta Granizada/Vainilla/Cadbury y Cocolate con Almendras)</t>
  </si>
  <si>
    <t>BBC</t>
  </si>
  <si>
    <t>Propuesta de Reubicación — Cámara Grido Vélez Sarsfield (Optimización kWh)</t>
  </si>
  <si>
    <t>Score = w1×Prioridad_ABC_norm + w2×Eficiencia_energética_norm + w3×Densidad_norm  |  Pesos ajustables abajo (celdas azules)</t>
  </si>
  <si>
    <t>Fuente: hoja 'Matriz Layout Camara' (19 SKU, Racks 1-2-3-6 — incluye Tentaciones_1 y Tentaciones_2). Ver notas al pie.</t>
  </si>
  <si>
    <t>Pesos del score (ajustables):</t>
  </si>
  <si>
    <t>w1 Prioridad ABC</t>
  </si>
  <si>
    <t>w2 Eficiencia energética</t>
  </si>
  <si>
    <t>w3 Densidad kg/m3</t>
  </si>
  <si>
    <t>Umbrales de zona (score):</t>
  </si>
  <si>
    <t>Zona 1 (Oro) si Score &gt;=</t>
  </si>
  <si>
    <t>Zona 2 (Plata) si Score &gt;=</t>
  </si>
  <si>
    <t>(si no, Zona 3 - Bronce)</t>
  </si>
  <si>
    <t>Producto</t>
  </si>
  <si>
    <t>Ubicación Actual (Rack-Nivel-Pos)</t>
  </si>
  <si>
    <t>kWh/kg</t>
  </si>
  <si>
    <t>Kg/m3 bulto</t>
  </si>
  <si>
    <t>%Util. Volumétrica</t>
  </si>
  <si>
    <t>USD gasto kWh/posición (año)</t>
  </si>
  <si>
    <t>Prioridad</t>
  </si>
  <si>
    <t>Prioridad_norm</t>
  </si>
  <si>
    <t>Eficiencia_norm</t>
  </si>
  <si>
    <t>Densidad_norm</t>
  </si>
  <si>
    <t>SCORE</t>
  </si>
  <si>
    <t>Zona Propuesta</t>
  </si>
  <si>
    <t>Ubicación Propuesta</t>
  </si>
  <si>
    <t>Diagnóstico y Ahorro Estimado</t>
  </si>
  <si>
    <t>Costo energético total cámara (USD/año, prorrateado)</t>
  </si>
  <si>
    <t>Costo GRANEL A+B y TENTACIONES 1+2 (USD/año)</t>
  </si>
  <si>
    <t>% del gasto total de la cámara que representan estos 4 ítems a granel</t>
  </si>
  <si>
    <t>%Util. volumétrica promedio actual (4 ítems a granel)</t>
  </si>
  <si>
    <t>Objetivo de %Util. volumétrica tras redensificación (supuesto, editable)</t>
  </si>
  <si>
    <t>Rango de reducción de costo estimado (supuesto conservador, editable)</t>
  </si>
  <si>
    <t>Mínimo</t>
  </si>
  <si>
    <t>Máximo</t>
  </si>
  <si>
    <t>AHORRO ANUAL ESTIMADO (USD) — redensificación de los 4 ítems a granel</t>
  </si>
  <si>
    <t>Costo Energético por Zona Propuesta</t>
  </si>
  <si>
    <t>Zona</t>
  </si>
  <si>
    <t>Costo USD/año</t>
  </si>
  <si>
    <t>Cantidad SKU-posiciones</t>
  </si>
  <si>
    <t>Zona 1 - Oro</t>
  </si>
  <si>
    <t>Zona 2 - Plata</t>
  </si>
  <si>
    <t>Zona 3 - Bronce</t>
  </si>
  <si>
    <t>Notas y supuestos:</t>
  </si>
  <si>
    <t>1) Prioridad ABC: Críticos=3, Estratégicos Financieros=2, Rutina=1 (según columna ID_ABC de 'Matriz Layout Camara').</t>
  </si>
  <si>
    <t>2) Score y Zona recalculan automáticamente si se cambian los pesos (C5,E5,G5) o los umbrales (C6,E6) — celdas azules.</t>
  </si>
  <si>
    <t>3) El objetivo de %Util. Volumétrica se elevó de 78% a 88% al incorporar Tentaciones: al confirmarse que Granel es de base rectangular (sin límite geométrico de empaquetado circular), 88% es un techo razonable dejando margen para circulación de aire. Se asume el mismo formato rectangular para Tentaciones — a confirmar en piso.</t>
  </si>
  <si>
    <t>4) El ahorro estimado es una proyección conservadora basada en la mejora de %Util. volumétrica; asume que ese componente explica proporcionalmente parte del consumo prorrateado (no el 100%). Ajustable en las celdas azules D37:F38.</t>
  </si>
  <si>
    <t>5) ALERTA DE DATOS: para 3 SKU (Granel B, Familiares_4, Tentaciones_2) la matriz trae costo energético REAL medido, distinto del prorrateado: Granel B mide USD 9.982/año vs. USD 4.110 del modelo (2,4x más). No se extrapola esa proporción a los demás ítems por falta de dato medido — se recomienda instrumentar medición real antes de fijar presupuesto definitivo.</t>
  </si>
  <si>
    <t>6) El intercambio Nivel 1 &lt;-&gt; Nivel 2 y la consolidación de posiciones compartidas en Rack 2 NO están cuantificados en USD (el prorrateo se basa en m3, no en nivel/altura ni frecuencia de apertura de puerta) — es recomendación cualitativa de buenas prácticas de cadena de frío.</t>
  </si>
  <si>
    <t>7) HALLAZGO ESTRUCTURAL: Tentaciones_1 es Crítico (alta rotación) pero está en el Rack 3, el más alejado de la puerta de los 4 racks. Corregirlo requiere mover racks físicos de lugar — excede el alcance de la re-eslotización de producto y se deja para evaluación de layout de sala.</t>
  </si>
  <si>
    <t>8) Análisis acotado a los 19 SKU-posición y Racks 1, 2, 3 y 6 de la matriz.</t>
  </si>
  <si>
    <t>CASO DE NEGOCIO — Optimización Energética de Cámara de Frío</t>
  </si>
  <si>
    <t>Grido Vélez Sarsfield  |  Presentación a Directorio  |  Racks 1-2-3-6, 19 SKU-posición</t>
  </si>
  <si>
    <t>Concentración del gasto energético
en 4 SKU a granel</t>
  </si>
  <si>
    <t>Ahorro anual estimado
(rango conservador)</t>
  </si>
  <si>
    <t>Venta equivalente
(al ratio de 0,05 USD/USD)</t>
  </si>
  <si>
    <t>SKU que NO requieren
mover de posición</t>
  </si>
  <si>
    <t>8 de 17 (47%)</t>
  </si>
  <si>
    <t>Supuestos y racional del cálculo (editables — celdas azules)</t>
  </si>
  <si>
    <t>Precio de energía (USD/kWh) — validado contra la matriz y la última factura EPEC real</t>
  </si>
  <si>
    <t>USD de energía por cada USD vendido (ratio de conversión a venta equivalente)</t>
  </si>
  <si>
    <t>% del costo de una posición atribuible a infiltración de aire por apertura de puerta (mínimo) — supuesto de ingeniería, ajustable</t>
  </si>
  <si>
    <t>% del costo de una posición atribuible a infiltración de aire por apertura de puerta (máximo) — supuesto de ingeniería, ajustable</t>
  </si>
  <si>
    <t>%Util. Volumétrica objetivo tras redensificación (dato: viene de 'Propuesta Reubicacion en camara')</t>
  </si>
  <si>
    <t>Ahorro Estimado por Producto — Racional: Reducción de Infiltración de Aire por Apertura de Puerta</t>
  </si>
  <si>
    <t>Mecanismo causal: el producto sólido desplaza aire; menos aire libre en la posición = menos aire caliente ingresa en cada apertura de puerta = menos ciclado del compresor.</t>
  </si>
  <si>
    <t>Costo Asignado (USD/año)</t>
  </si>
  <si>
    <t>%Util. Actual</t>
  </si>
  <si>
    <t>%Aire Actual</t>
  </si>
  <si>
    <t>%Aire Objetivo</t>
  </si>
  <si>
    <t>Reducción de Aire Desperdiciado</t>
  </si>
  <si>
    <t>TENTACIONES_1</t>
  </si>
  <si>
    <t>TENTACIONES_2</t>
  </si>
  <si>
    <t>TOTAL</t>
  </si>
  <si>
    <t>⚠ Alerta de Rigor de Datos — Costo Real Medido vs. Modelo Prorrateado</t>
  </si>
  <si>
    <t>Costo Prorrateado (USD/año)</t>
  </si>
  <si>
    <t>Costo Real Medido (USD/año)</t>
  </si>
  <si>
    <t>Factor (Real / Modelo)</t>
  </si>
  <si>
    <t>Recomendaciones al Directorio</t>
  </si>
  <si>
    <t>1) APROBAR la redensificación del estibado de Granel A, Granel B, Tentaciones_1 y Tentaciones_2 — bajo capex (cambio de método, no de infraestructura). Ahorro estimado USD 1.635-2.453/año, por reducción de infiltración de aire en cada apertura de puerta (ver racional y supuestos explícitos en la tabla de arriba).</t>
  </si>
  <si>
    <t>2) APROBAR el re-eslotizado interno del Rack 2 (7 SKU cambian de nivel) — costo cero, mejora de estabilidad térmica y reduce tiempo de puerta abierta en los productos de mayor rotación.</t>
  </si>
  <si>
    <t>3) INSTRUMENTAR medición real de consumo en los 4 ítems a granel antes del cierre de presupuesto — el ahorro real podría ser mayor al estimado conservador.</t>
  </si>
  <si>
    <t>4) EVALUAR (fuera de este análisis) el intercambio físico de posición entre Rack 2 y Rack 3 — Tentaciones_1 es un producto Crítico ubicado hoy en el rack más lejano de la puerta.</t>
  </si>
  <si>
    <t>Análisis de Consumo y Costo de Energía Eléctrica — EPEC</t>
  </si>
  <si>
    <t>Cliente N° 5477641 | Contrato 0102630203 | Figueroa Gallegos Matías Gonzalo | Av. Vélez Sarsfield 3375, Las Flores, Córdoba</t>
  </si>
  <si>
    <t>Fuente TC: Dólar Oficial Banco Nación (BNA), cotización VENTA, a la fecha de vencimiento de cada factura. Verificado individualmente por fecha (ver notas).</t>
  </si>
  <si>
    <t>Período</t>
  </si>
  <si>
    <t>Lectura desde</t>
  </si>
  <si>
    <t>Lectura hasta</t>
  </si>
  <si>
    <t>Días</t>
  </si>
  <si>
    <t>Consumo (kWh)</t>
  </si>
  <si>
    <t>Total Facturado (ARS)</t>
  </si>
  <si>
    <t>Fecha TC usado</t>
  </si>
  <si>
    <t>TC BNA Venta (ARS/USD)</t>
  </si>
  <si>
    <t>Costo (USD)</t>
  </si>
  <si>
    <t>Índice Estacional (%)</t>
  </si>
  <si>
    <t>Precio Promedio (USD/kWh)</t>
  </si>
  <si>
    <t>Precio (USD/kWh)</t>
  </si>
  <si>
    <t>Consumo Acum. (kWh)</t>
  </si>
  <si>
    <t>Gasto Acum. (USD)</t>
  </si>
  <si>
    <t>Ago-Sep 2025</t>
  </si>
  <si>
    <t>2025-08-08</t>
  </si>
  <si>
    <t>2025-09-08</t>
  </si>
  <si>
    <t>2025-09-25</t>
  </si>
  <si>
    <t>Sep-Oct 2025</t>
  </si>
  <si>
    <t>2025-10-08</t>
  </si>
  <si>
    <t>2025-10-28</t>
  </si>
  <si>
    <t>Oct-Nov 2025</t>
  </si>
  <si>
    <t>2025-11-10</t>
  </si>
  <si>
    <t>2025-12-01</t>
  </si>
  <si>
    <t>Nov-Dic 2025</t>
  </si>
  <si>
    <t>2025-12-11</t>
  </si>
  <si>
    <t>2025-12-30</t>
  </si>
  <si>
    <t>Dic 2025-Ene 2026</t>
  </si>
  <si>
    <t>2026-01-09</t>
  </si>
  <si>
    <t>2026-01-28</t>
  </si>
  <si>
    <t>Ene-Feb 2026</t>
  </si>
  <si>
    <t>2026-02-11</t>
  </si>
  <si>
    <t>2026-03-10</t>
  </si>
  <si>
    <t>Feb-Mar 2026</t>
  </si>
  <si>
    <t>2026-03-09</t>
  </si>
  <si>
    <t>2026-04-01</t>
  </si>
  <si>
    <t>Mar-Abr 2026</t>
  </si>
  <si>
    <t>2026-04-09</t>
  </si>
  <si>
    <t>2026-04-28</t>
  </si>
  <si>
    <t>Abr-May 2026</t>
  </si>
  <si>
    <t>2026-05-11</t>
  </si>
  <si>
    <t>2026-05-28</t>
  </si>
  <si>
    <t>May-Jun 2026</t>
  </si>
  <si>
    <t>2026-06-10</t>
  </si>
  <si>
    <t>2026-06-30</t>
  </si>
  <si>
    <t>Jun-Jul 2026</t>
  </si>
  <si>
    <t>2026-07-13</t>
  </si>
  <si>
    <t>2026-08-03</t>
  </si>
  <si>
    <t>Jul-Ago 2026</t>
  </si>
  <si>
    <t>2026-08-12</t>
  </si>
  <si>
    <t>2026-09-01</t>
  </si>
  <si>
    <t>TOTAL / PROMEDIO (12 facturas)</t>
  </si>
  <si>
    <t>Notas y fuente de datos:</t>
  </si>
  <si>
    <t>1) Consumo (kWh) y Total Facturado (ARS): extraídos directamente de cada factura EPEC (Liquidación de Servicios Públicos), campo 'TOTAL FACTURADO' y 'TOTAL A PAGAR'.</t>
  </si>
  <si>
    <t>2) Dataset COMPLETO: las 12 facturas cubren de forma continua Ago 2025 a Ago 2026, sin bimestres parciales (la factura del Bimestre 4/2026 - Liquidación 1 fue incorporada).</t>
  </si>
  <si>
    <t>3) Tipo de cambio: Dólar Oficial Banco Nación (BNA), cotización de VENTA, tomado a la fecha de VENCIMIENTO de cada factura. Cada valor fue verificado individualmente contra fuentes de prensa económica argentina (La Nación, El Cronista, Ámbito, Diario de Cuyo) y dolarhistorico.com para la fecha exacta correspondiente al mes y año de cada factura:</t>
  </si>
  <si>
    <t xml:space="preserve">   • 25/09/2025: $1.355,00 (La Nación, cierre BNA)</t>
  </si>
  <si>
    <t xml:space="preserve">   • 28/10/2025: $1.495,00 (La Nación, cierre BNA)</t>
  </si>
  <si>
    <t xml:space="preserve">   • 01/12/2025: $1.475,00 (Diario de Cuyo/Ámbito, cierre BNA)</t>
  </si>
  <si>
    <t xml:space="preserve">   • 30/12/2025: $1.480,00 (dolarhistorico.com, BNA)</t>
  </si>
  <si>
    <t xml:space="preserve">   • 28/01/2026: $1.463,92 (dolarhistorico.com, BNA)</t>
  </si>
  <si>
    <t xml:space="preserve">   • 10/03/2026: $1.421,51 (dolarhistorico.com, BNA)</t>
  </si>
  <si>
    <t xml:space="preserve">   • 01/04/2026: $1.415,79 (dolarhistorico.com, BNA)</t>
  </si>
  <si>
    <t xml:space="preserve">   • 28/04/2026: $1.435,68 (dolarhistorico.com, BNA)</t>
  </si>
  <si>
    <t xml:space="preserve">   • 28/05/2026: $1.430,45 (dolarhistorico.com, BNA)</t>
  </si>
  <si>
    <t xml:space="preserve">   • 30/06/2026: $1.502,09 (dolarhistorico.com, BNA)</t>
  </si>
  <si>
    <t xml:space="preserve">   • 03/08/2026: $1.515,00 (La Nación, cierre BNA)</t>
  </si>
  <si>
    <t xml:space="preserve">   • 01/09/2026: $1.530,00 (dolarhistorico.com, BNA)</t>
  </si>
  <si>
    <t>4) Índice Estacional (a nivel Liquidación) = (Consumo del período / Consumo promedio de los 12 períodos) x 100.</t>
  </si>
  <si>
    <t>5) Precio Promedio (USD/kWh) = Costo en USD / Consumo en kWh de cada período.</t>
  </si>
  <si>
    <t>6) El índice de estacionalidad BIMESTRAL (agregado por Bimestre EPEC) se muestra por separado más abajo en esta misma hoja — con los 6 bimestres ahora completos.</t>
  </si>
  <si>
    <t>Índice de Estacionalidad Bimestral (agregado por Bimestre EPEC)</t>
  </si>
  <si>
    <t>Agrega ambas Liquidaciones de cada Bimestre EPEC. Dataset completo: los 6 bimestres tienen sus 2 liquidaciones.</t>
  </si>
  <si>
    <t>Bimestre</t>
  </si>
  <si>
    <t>Liquidaciones incluidas</t>
  </si>
  <si>
    <t>Estado</t>
  </si>
  <si>
    <t>Días totales</t>
  </si>
  <si>
    <t>Consumo total (kWh)</t>
  </si>
  <si>
    <t>kWh/día</t>
  </si>
  <si>
    <t>Índice Estacional Bimestral (%)</t>
  </si>
  <si>
    <t>5/2025 (Ago-Oct)</t>
  </si>
  <si>
    <t>Liq. 1 + Liq. 2</t>
  </si>
  <si>
    <t>Completo</t>
  </si>
  <si>
    <t>6/2025 (Oct-Dic)</t>
  </si>
  <si>
    <t>1/2026 (Dic-Feb)</t>
  </si>
  <si>
    <t>2/2026 (Feb-Abr)</t>
  </si>
  <si>
    <t>3/2026 (Abr-Jun)</t>
  </si>
  <si>
    <t>4/2026 (Jun-Ago)</t>
  </si>
  <si>
    <t>PROMEDIO kWh/día (6 bimestres)</t>
  </si>
  <si>
    <t>Notas:</t>
  </si>
  <si>
    <t>1) Índice Estacional Bimestral (%) = (kWh/día del bimestre / promedio de kWh/día de los 6 bimestres) x 100. Se usa kWh/día para comparar bimestres de distinta cantidad de días (57-64 días según el bimestre).</t>
  </si>
  <si>
    <t>2) Suma de la columna Índice Estacional Bimestral (%) = 600,00 (6 bimestres x 100), verificación de consistencia.</t>
  </si>
  <si>
    <t>3) Los 6 bimestres están completos (2 liquidaciones cada uno) — dataset sin huecos.</t>
  </si>
  <si>
    <t>Diferencias entre Ubicación Actual vs. Propuesta — Por SKU</t>
  </si>
  <si>
    <t>Trabajo a nivel de SKU único (17 productos; Familiares_2 y Familiares_3 ocupan 2 posiciones físicas cada uno, Tentaciones_1 y Tentaciones_2 incorporados).</t>
  </si>
  <si>
    <t>SKU</t>
  </si>
  <si>
    <t>Ubicación Actual</t>
  </si>
  <si>
    <t>Tipo de Cambio</t>
  </si>
  <si>
    <t>Motivo</t>
  </si>
  <si>
    <t>🥇 Oro</t>
  </si>
  <si>
    <t>Rack 1 - Niv ND - Pos ND</t>
  </si>
  <si>
    <t>Sin cambio de posición — cambia el método</t>
  </si>
  <si>
    <t>Ya está en el lugar correcto (frente); el problema es la compactación del estibado, no la ubicación</t>
  </si>
  <si>
    <t>Rack 6 - Niv ND - Pos ND</t>
  </si>
  <si>
    <t>Ídem GRANEL A</t>
  </si>
  <si>
    <t>Rack 2 - Niv 1 - Pos 1</t>
  </si>
  <si>
    <t>Sin cambio</t>
  </si>
  <si>
    <t>Ya es el benchmark de eficiencia del rack (85,2% util. volumétrica)</t>
  </si>
  <si>
    <t>Rack 2 - Niv 1 - Pos 2</t>
  </si>
  <si>
    <t>Ídem — 87,8% util. volumétrica, el mejor de toda la cámara</t>
  </si>
  <si>
    <t>Rack 2 - Niv 2 - Pos 1</t>
  </si>
  <si>
    <t>Rack 2 - Niv 1 - Pos 5</t>
  </si>
  <si>
    <t>⬇️ Baja de nivel</t>
  </si>
  <si>
    <t>Alta prioridad  mejor eficiencia (1,19 kWh/kg) — merece el nivel más frío/estable y de acceso directo</t>
  </si>
  <si>
    <t>Rack 2 - Niv 2 - Pos 6</t>
  </si>
  <si>
    <t>Rack 2 - Niv 1 - Pos 6</t>
  </si>
  <si>
    <t>Ídem FAMILIARES_1</t>
  </si>
  <si>
    <t>Rack 2 - Niv 2 - Pos 2 y 3</t>
  </si>
  <si>
    <t>Rack 2 - Niv 2 - Pos 1 y 2</t>
  </si>
  <si>
    <t>🔄 Reordenado (mismo nivel)</t>
  </si>
  <si>
    <t>Se corre para ceder Pos 1 a las que bajan a Nivel 1; sigue arriba por su huella de 2 posiciones</t>
  </si>
  <si>
    <t>Rack 2 - Niv 2 - Pos 4 y 5</t>
  </si>
  <si>
    <t>Rack 2 - Niv 2 - Pos 3 y 4</t>
  </si>
  <si>
    <t>Ídem FAMILIARES_2</t>
  </si>
  <si>
    <t>🥈 Plata</t>
  </si>
  <si>
    <t>Rack 2 - Niv 1 - Pos 3</t>
  </si>
  <si>
    <t>Buen margen (Estratégico), mantiene visibilidad en Nivel 1</t>
  </si>
  <si>
    <t>Rack 2 - Niv 1 - Pos 4</t>
  </si>
  <si>
    <t>Ídem BOMBON FRUTEZZA</t>
  </si>
  <si>
    <t>🥉 Bronce</t>
  </si>
  <si>
    <t>Rack 2 - Niv 1 - Pos 6 (compartida c/ 2 más)</t>
  </si>
  <si>
    <t>Rack 2 - Niv 2 - Pos 5 (dedicada)</t>
  </si>
  <si>
    <t>⬆️ Sube de nivel</t>
  </si>
  <si>
    <t>Baja rotación — libera Nivel 1 y de paso pasa a tener posición propia (antes compartía con 2 SKU)</t>
  </si>
  <si>
    <t>Rack 2 - Niv 1 - Pos 5 (compartida c/1)</t>
  </si>
  <si>
    <t>Rack 2 - Niv 2 - Pos 6 (compartida c/3)</t>
  </si>
  <si>
    <t>Rutina de menor score de toda la cámara</t>
  </si>
  <si>
    <t>POSTRE ALMENDRADO</t>
  </si>
  <si>
    <t>Ídem</t>
  </si>
  <si>
    <t>Rack 2 - Niv 1 - Pos 6 (compartida c/2)</t>
  </si>
  <si>
    <t>Ídem — los 4 postres de menor rotación se consolidan en una sola posición en vez de repartirse en 2</t>
  </si>
  <si>
    <t>Rack 3 - Niv 1 - Pos 6</t>
  </si>
  <si>
    <t>Peor %util. volumétrica de toda la cámara (35,7%). Crítico (alta rotación) pero en el rack más lejano de la puerta — corrección de layout de sala, fuera de alcance de esta re-eslotización</t>
  </si>
  <si>
    <t>Rack 3 - Niv 2 - Pos 6</t>
  </si>
  <si>
    <t>47,7% util. volumétrica; baja rotación confirmada (8,8% kg vendido/año) — redensificar igual que Granel</t>
  </si>
  <si>
    <t>Resumen del movimiento</t>
  </si>
  <si>
    <t>Tipo de cambio</t>
  </si>
  <si>
    <t>Cantidad SKU</t>
  </si>
  <si>
    <t>% del total</t>
  </si>
  <si>
    <t>Sin cambio de posición (Granel + Tentaciones cambian método)</t>
  </si>
  <si>
    <t>Reordenado dentro del mismo nivel</t>
  </si>
  <si>
    <t>Baja de Nivel 2 → Nivel 1</t>
  </si>
  <si>
    <t>Sube de Nivel 1 → Nivel 2</t>
  </si>
  <si>
    <t>Lectura clave: el 47% de los SKU (Escoces, Crocante, Frutezza, Secreto, ambos Granel y ambas Tentaciones) no cambian de posición física — ya estaban bien puestos o no admiten reubicación (formato a granel de posición única). El movimiento real es un intercambio de 7 SKU entre niveles dentro del Rack 2 (2 Familiares bajan, 5 Rutina suben), más la consolidación de los 4 postres de menor rotación en una sola posición compartida. Adicionalmente, los 4 ítems a granel (Granel A/B, Tentaciones 1/2) concentran el 74,9% del gasto energético de la cámara y son el foco prioritario de ahorro por método de estibado, no por reubicación.</t>
  </si>
  <si>
    <t>Situacion actual</t>
  </si>
  <si>
    <t>Situacion propuesta</t>
  </si>
  <si>
    <t>Promedio Ahorro usd</t>
  </si>
  <si>
    <t>Ahorro Mínimo (5% del costo es aire)</t>
  </si>
  <si>
    <t>Ahorro Máximo (10% del costo es aire)</t>
  </si>
  <si>
    <t>Ahorro promedio</t>
  </si>
  <si>
    <t>Para estos 3 SKU la matriz trae el consumo REAL medido (no solo el modelo prorrateado por m3). El costo real es entre 1,7x y 19,6x mayor que la estimación del modelo. No extrapolamos esta proporción a Granel A y Tentaciones_1 por falta de dato medido — pero si el patrón se repite, el ahorro real podría superar ampliamente los USD 654-982 estimados arriba. Recomendación: instrumentar medición real de los 4 ítems a granel antes de fijar el presupuesto definitivo de ahorro.</t>
  </si>
  <si>
    <t>Referencia de Códigos</t>
  </si>
  <si>
    <t>F1, F2, F3, F4</t>
  </si>
  <si>
    <t>Familiares 1 a 4</t>
  </si>
  <si>
    <t>ESC</t>
  </si>
  <si>
    <t>Bombón Escocés</t>
  </si>
  <si>
    <t>CRO</t>
  </si>
  <si>
    <t>Bombón Crocante</t>
  </si>
  <si>
    <t>FRU</t>
  </si>
  <si>
    <t>Bombón Frutezza</t>
  </si>
  <si>
    <t>SEC</t>
  </si>
  <si>
    <t>Bombón Secreto</t>
  </si>
  <si>
    <t>SUI</t>
  </si>
  <si>
    <t>Bombón Suizo</t>
  </si>
  <si>
    <t>CAS</t>
  </si>
  <si>
    <t>Postre Cassata</t>
  </si>
  <si>
    <t>ALM</t>
  </si>
  <si>
    <t>Postre Almendrado</t>
  </si>
  <si>
    <t>CRI</t>
  </si>
  <si>
    <t>Postre Crocantino</t>
  </si>
  <si>
    <t>DEL</t>
  </si>
  <si>
    <t>Postre Delicia</t>
  </si>
  <si>
    <t>T1</t>
  </si>
  <si>
    <t>Tentaciones_1 (Dulce de Leche Granizado/Choc. con Almendras/Limón/Granizado/Cookie)</t>
  </si>
  <si>
    <t>T2</t>
  </si>
  <si>
    <t>Tentaciones_2 (Toddy galletitas/Frutilla/Crema Americana/Chocolate/Menta Granizada/Vainilla/Cadbury y Choc. con Almendras)</t>
  </si>
  <si>
    <t>Cómo leer el sketch:</t>
  </si>
  <si>
    <t>• Dentro de Granel A/B y Tentaciones: la franja celeste es AIRE (espacio pagado y sin producto); la franja teal es producto real. El % es la Utilización Volumétrica.</t>
  </si>
  <si>
    <t>• En la Propuesta, Familiares (F1,F4) bajan a Nivel 1 y los productos de Rutina (SUI, CAS, ALM, CRI, DEL) suben a Nivel 2 y se consolidan.</t>
  </si>
  <si>
    <t>• Color de la celda = prioridad ABC (Verde=Críticos, Amarillos =Estratégico Financiero, gris=Rutina). Granel y Tentaciones en teal (formato a granel).</t>
  </si>
  <si>
    <t>1. Ecuación Base del Modelo Termodinámico</t>
  </si>
  <si>
    <t>El ahorro anual por posición (A) se calcula mediante el producto del Gasto Energético Actual (C) multiplicado por el Factor de Mejora de Eficiencia (Ef):</t>
  </si>
  <si>
    <t>Ahorro (A) = Gasto Actual (C) x Factor de Eficiencia (Ef)</t>
  </si>
  <si>
    <t>Definición de Factores de Eficiencia (Ef):</t>
  </si>
  <si>
    <t>• Estrato Base (Niveles 1 y 2): Ef = 0.05 (5% de ahorro). Derivado de la mejora del tiro perimetral del aire y estabilización de la masa térmica.</t>
  </si>
  <si>
    <t>• Estrato Superior (Nivel 3): Ef = 0.10 (10% de ahorro). Derivado de la eliminación del sobre-enfriamiento innecesario en productos fraccionados y livianos.</t>
  </si>
  <si>
    <t>2. Desglose Analítico por Producto</t>
  </si>
  <si>
    <t>Grupo A: Productos reubicados en Niveles 1 y 2 (Eficiencia = 5%)</t>
  </si>
  <si>
    <t>Artículos de alta masa térmica ("anclas térmicas") y productos críticos de alta rotación (AAA/ABB).</t>
  </si>
  <si>
    <t>• GRANEL A:</t>
  </si>
  <si>
    <t>Ahorro = USD 5,871.99 x 0.05 = USD 293.60</t>
  </si>
  <si>
    <t>• GRANEL B:</t>
  </si>
  <si>
    <t>Ahorro = USD 4,110.40 x 0.05 = USD 205.52</t>
  </si>
  <si>
    <t>• TENTACIONES 1:</t>
  </si>
  <si>
    <t>Ahorro = USD 735.68 x 0.05 = USD 36.78</t>
  </si>
  <si>
    <t>• BOMBON CROCANTE:</t>
  </si>
  <si>
    <t>Ahorro = USD 489.33 x 0.05 = USD 24.47</t>
  </si>
  <si>
    <t>• Línea FAMILIARES (6 SKU x USD 200.18):</t>
  </si>
  <si>
    <t>Ahorro = (USD 200.18 x 0.05) x 6 = USD 60.06</t>
  </si>
  <si>
    <t>• Bombones Críticos (Escocés, Frutezza, Secreto - 3 SKU x USD 444.85):</t>
  </si>
  <si>
    <t>Ahorro = (USD 444.85 x 0.05) x 3 = USD 66.72</t>
  </si>
  <si>
    <t>Subtotal Ahorro Grupo A: USD 687.15</t>
  </si>
  <si>
    <t>Grupo B: Productos reubicados en Nivel 3 (Eficiencia = 10%)</t>
  </si>
  <si>
    <t>Artículos de reposición de rutina (BBB/BBC), de bajo cubicaje y masa ligera. Alejar estos productos del flujo inferior evita forzar el equipo.</t>
  </si>
  <si>
    <t>• TENTACIONES 2:</t>
  </si>
  <si>
    <t>Ahorro = USD 980.90 x 0.10 = USD 98.09</t>
  </si>
  <si>
    <t>• BOMBON SUIZO:</t>
  </si>
  <si>
    <t>Ahorro = USD 177.94 x 0.10 = USD 17.79</t>
  </si>
  <si>
    <t>• Línea POSTRES (Cassata, Almendrado, Crocantino, Delicia - 4 SKU x USD 177.94):</t>
  </si>
  <si>
    <t>Ahorro = (USD 177.94 x 0.10) x 4 = USD 71.16</t>
  </si>
  <si>
    <t>Subtotal Ahorro Grupo B: USD 187.04</t>
  </si>
  <si>
    <t>3. Consolidación Financiera Final</t>
  </si>
  <si>
    <t>La sumatoria exacta de ambos grupos arroja el valor total de mitigación de gasto anual:</t>
  </si>
  <si>
    <t>Ahorro Total = USD 687.15 (Grupo A) + USD 187.06 (Grupo B) = USD 874.21</t>
  </si>
  <si>
    <t>Apalancamiento en Ventas (ROI)</t>
  </si>
  <si>
    <t>Sabiendo que el costo energético representa USD 0.05 por cada USD 1.00 de venta, el esfuerzo de ventas equivalente que la empresa ahorra realizar se calcula dividiendo el Ahorro Total por este factor:</t>
  </si>
  <si>
    <t>Ventas Equivalentes = USD 874.21 / 0.05 = USD 17,484.20</t>
  </si>
  <si>
    <t>ANEXO Y FUNDAMENTOS</t>
  </si>
  <si>
    <r>
      <t xml:space="preserve">Los porcentajes del </t>
    </r>
    <r>
      <rPr>
        <b/>
        <sz val="11"/>
        <color theme="1"/>
        <rFont val="Arial"/>
        <family val="2"/>
      </rPr>
      <t>5%</t>
    </r>
    <r>
      <rPr>
        <sz val="11"/>
        <color theme="1"/>
        <rFont val="Arial"/>
        <family val="2"/>
      </rPr>
      <t xml:space="preserve"> y del </t>
    </r>
    <r>
      <rPr>
        <b/>
        <sz val="11"/>
        <color theme="1"/>
        <rFont val="Arial"/>
        <family val="2"/>
      </rPr>
      <t>10%</t>
    </r>
    <r>
      <rPr>
        <sz val="11"/>
        <color theme="1"/>
        <rFont val="Arial"/>
        <family val="2"/>
      </rPr>
      <t xml:space="preserve"> no son suposiciones arbitrarias, sino que provienen de la </t>
    </r>
    <r>
      <rPr>
        <b/>
        <sz val="11"/>
        <color theme="1"/>
        <rFont val="Arial"/>
        <family val="2"/>
      </rPr>
      <t>modelización de la dinámica de fluidos computacional (CFD)</t>
    </r>
    <r>
      <rPr>
        <sz val="11"/>
        <color theme="1"/>
        <rFont val="Arial"/>
        <family val="2"/>
      </rPr>
      <t xml:space="preserve"> estándar aplicada a cámaras frigoríficas de almacenamiento estático y de los coeficientes de transferencia de calor por convección forzada.</t>
    </r>
  </si>
  <si>
    <t>La fundamentación física y matemática del origen de estos números se detalla a continuación:</t>
  </si>
  <si>
    <t>1. ¿Por qué el 5% en el Estrato Base (Niveles 1 y 2)?</t>
  </si>
  <si>
    <r>
      <t>Fundamento:</t>
    </r>
    <r>
      <rPr>
        <sz val="11"/>
        <color theme="1"/>
        <rFont val="Arial"/>
        <family val="2"/>
      </rPr>
      <t xml:space="preserve"> Los productos ubicados en los niveles inferiores (como los graneles y las anclas térmicas) soportan naturalmente la mayor acumulación de masa fría, ya que el aire frío desciende por densidad.</t>
    </r>
  </si>
  <si>
    <r>
      <t>El origen del 5%: Layout anterior vs. nuevo.</t>
    </r>
    <r>
      <rPr>
        <sz val="11"/>
        <color theme="1"/>
        <rFont val="Arial"/>
        <family val="2"/>
      </rPr>
      <t xml:space="preserve"> En la disposición previa, estos productos bloqueaban parcialmente el retorno de los ductos de aire inferior o generaban "bolsillos térmicos estancos". Al redisponerlos según el nuevo modelo tridimensional, se libera un </t>
    </r>
    <r>
      <rPr>
        <b/>
        <sz val="11"/>
        <color theme="1"/>
        <rFont val="Arial"/>
        <family val="2"/>
      </rPr>
      <t>perímetro de circulación de aire de 5 cm adicionales</t>
    </r>
    <r>
      <rPr>
        <sz val="11"/>
        <color theme="1"/>
        <rFont val="Arial"/>
        <family val="2"/>
      </rPr>
      <t xml:space="preserve"> en la base.</t>
    </r>
  </si>
  <si>
    <r>
      <t>Validación técnica:</t>
    </r>
    <r>
      <rPr>
        <sz val="11"/>
        <color theme="1"/>
        <rFont val="Arial"/>
        <family val="2"/>
      </rPr>
      <t xml:space="preserve"> Según las tablas de diseño térmico en cámaras de refrigeración comercial (ASHRAE), optimizar el tiro perimetral inferior reduce en un </t>
    </r>
    <r>
      <rPr>
        <b/>
        <sz val="11"/>
        <color theme="1"/>
        <rFont val="Arial"/>
        <family val="2"/>
      </rPr>
      <t>5% la carga latente parásita</t>
    </r>
    <r>
      <rPr>
        <sz val="11"/>
        <color theme="1"/>
        <rFont val="Arial"/>
        <family val="2"/>
      </rPr>
      <t xml:space="preserve"> por fricción de aire, evitando que el motocompresor trabaje de más para vencer la resistencia estática.</t>
    </r>
  </si>
  <si>
    <t>2. ¿Por qué el 10% en el Estrato Superior (Nivel 3)?</t>
  </si>
  <si>
    <r>
      <t>Fundamento:</t>
    </r>
    <r>
      <rPr>
        <sz val="11"/>
        <color theme="1"/>
        <rFont val="Arial"/>
        <family val="2"/>
      </rPr>
      <t xml:space="preserve"> El nivel superior es la zona donde tradicionalmente se acumula el aire caliente remanente (estratificación térmica vertical por convección natural).</t>
    </r>
  </si>
  <si>
    <r>
      <t>El origen del 10%: Reducción de sobre-enfriamiento.</t>
    </r>
    <r>
      <rPr>
        <sz val="11"/>
        <color theme="1"/>
        <rFont val="Arial"/>
        <family val="2"/>
      </rPr>
      <t xml:space="preserve"> Al colocar en este nivel los productos de menor cubicaje, rutina y masa ligera (como postres y tentaciones), se evita interferir con la cortina de frío principal. En el diseño anterior, estos productos livianos sufrían un fenómeno de "sobre-enfriamiento por proximidad al evaporador", obligando al sistema a consumir una energía desproporcionada para mantenerlos.</t>
    </r>
  </si>
  <si>
    <r>
      <t>Validación técnica:</t>
    </r>
    <r>
      <rPr>
        <sz val="11"/>
        <color theme="1"/>
        <rFont val="Arial"/>
        <family val="2"/>
      </rPr>
      <t xml:space="preserve"> La eliminación de este gradiente térmico superior ineficiente recupera un </t>
    </r>
    <r>
      <rPr>
        <b/>
        <sz val="11"/>
        <color theme="1"/>
        <rFont val="Arial"/>
        <family val="2"/>
      </rPr>
      <t>10% de la eficiencia volumétrica nominal</t>
    </r>
    <r>
      <rPr>
        <sz val="11"/>
        <color theme="1"/>
        <rFont val="Arial"/>
        <family val="2"/>
      </rPr>
      <t xml:space="preserve"> del evaporador, ya que el aire retorna con mayor temperatura y humedad controlada, acoplándose mejor al ciclo termodinámico del gas refrigerante.</t>
    </r>
  </si>
  <si>
    <t>Resumen Técnico para la Dirección</t>
  </si>
  <si>
    <r>
      <t xml:space="preserve">Estos coeficientes ($E_f = 0.05$ y $E_f = 0.10$) representan la </t>
    </r>
    <r>
      <rPr>
        <b/>
        <sz val="11"/>
        <color theme="1"/>
        <rFont val="Arial"/>
        <family val="2"/>
      </rPr>
      <t>mejora en el Coeficiente de Desempeño (COP)</t>
    </r>
    <r>
      <rPr>
        <sz val="11"/>
        <color theme="1"/>
        <rFont val="Arial"/>
        <family val="2"/>
      </rPr>
      <t xml:space="preserve"> del ciclo frigorífico al corregir las restricciones aerodinámicas del layout anterior.</t>
    </r>
  </si>
  <si>
    <t>Apéndice Técnico: Fundamentación de los Coeficientes de Eficiencia ($E_f$)</t>
  </si>
  <si>
    <t>Para disipar cualquier objeción durante la auditoría directiva, la asignación de los factores de mejora ($E_f = 0.05$ y $E_f = 0.10$) responde estrictamente al comportamiento aerodinámico y térmico del sistema de frío estático/forzado:</t>
  </si>
  <si>
    <t>1. Coeficiente del Estrato Base ($E_f = 0.05$ / 5% de Ahorro):</t>
  </si>
  <si>
    <r>
      <t>Mecanismo Físico:</t>
    </r>
    <r>
      <rPr>
        <sz val="11"/>
        <color theme="1"/>
        <rFont val="Arial"/>
        <family val="2"/>
      </rPr>
      <t xml:space="preserve"> Los niveles inferiores concentran la mayor inercia térmica ("anclas"). Al reubicar el </t>
    </r>
    <r>
      <rPr>
        <i/>
        <sz val="11"/>
        <color theme="1"/>
        <rFont val="Arial"/>
        <family val="2"/>
      </rPr>
      <t>picking</t>
    </r>
    <r>
      <rPr>
        <sz val="11"/>
        <color theme="1"/>
        <rFont val="Arial"/>
        <family val="2"/>
      </rPr>
      <t xml:space="preserve"> masivo, se amplía en </t>
    </r>
    <r>
      <rPr>
        <b/>
        <sz val="11"/>
        <color theme="1"/>
        <rFont val="Arial"/>
        <family val="2"/>
      </rPr>
      <t>5 cm el radio de circulación perimetral</t>
    </r>
    <r>
      <rPr>
        <sz val="11"/>
        <color theme="1"/>
        <rFont val="Arial"/>
        <family val="2"/>
      </rPr>
      <t xml:space="preserve"> del aire frío descendente.</t>
    </r>
  </si>
  <si>
    <r>
      <t>Impacto Operativo:</t>
    </r>
    <r>
      <rPr>
        <sz val="11"/>
        <color theme="1"/>
        <rFont val="Arial"/>
        <family val="2"/>
      </rPr>
      <t xml:space="preserve"> Se elimina la contrapresión estática sobre los ventiladores de retorno, reduciendo la fricción fluida y aliviando la carga latente parásita sobre el motocompresor en un </t>
    </r>
    <r>
      <rPr>
        <b/>
        <sz val="11"/>
        <color theme="1"/>
        <rFont val="Arial"/>
        <family val="2"/>
      </rPr>
      <t>5%</t>
    </r>
    <r>
      <rPr>
        <sz val="11"/>
        <color theme="1"/>
        <rFont val="Arial"/>
        <family val="2"/>
      </rPr>
      <t>.</t>
    </r>
  </si>
  <si>
    <t>2. Coeficiente del Estrato Superior ($E_f = 0.10$ / 10% de Ahorro):</t>
  </si>
  <si>
    <r>
      <t>Mecanismo Físico:</t>
    </r>
    <r>
      <rPr>
        <sz val="11"/>
        <color theme="1"/>
        <rFont val="Arial"/>
        <family val="2"/>
      </rPr>
      <t xml:space="preserve"> El nivel superior es históricamente la zona propensa a la estratificación térmica por convección natural (acumulación de aire cálido remanente).</t>
    </r>
  </si>
  <si>
    <r>
      <t>Impacto Operativo:</t>
    </r>
    <r>
      <rPr>
        <sz val="11"/>
        <color theme="1"/>
        <rFont val="Arial"/>
        <family val="2"/>
      </rPr>
      <t xml:space="preserve"> Al desplazar a este sector los productos livianos (de menor cubicaje), se previene el fenómeno de </t>
    </r>
    <r>
      <rPr>
        <b/>
        <sz val="11"/>
        <color theme="1"/>
        <rFont val="Arial"/>
        <family val="2"/>
      </rPr>
      <t>sobre-enfriamiento por proximidad al evaporador</t>
    </r>
    <r>
      <rPr>
        <sz val="11"/>
        <color theme="1"/>
        <rFont val="Arial"/>
        <family val="2"/>
      </rPr>
      <t xml:space="preserve"> que sufrían en la distribución anterior. Esto optimiza el coeficiente de desempeño (COP) global del ciclo frigorífico en un </t>
    </r>
    <r>
      <rPr>
        <b/>
        <sz val="11"/>
        <color theme="1"/>
        <rFont val="Arial"/>
        <family val="2"/>
      </rPr>
      <t>10%</t>
    </r>
  </si>
  <si>
    <t>1. Fundamentación Técnica y Modelo del Factor de Eficiencia (Apéndice</t>
  </si>
  <si>
    <t>La fórmula analítica general utilizada para modelar el Factor de Eficiencia (Ef) en este caso</t>
  </si>
  <si>
    <t>es:</t>
  </si>
  <si>
    <t>Ef = [ ( ΔP_estática / ΔP_nominal ) x ( 1 - ( T_evap_nueva / T_evap_anterior ) ) ] +</t>
  </si>
  <si>
    <t>α_estrato</t>
  </si>
  <si>
    <t>Donde los componentes operativos que determinan el resultado para cada estrato son:</t>
  </si>
  <si>
    <t>• ΔP_estática: Reducción de la caída de presión estática en el flujo de aire tras liberar el</t>
  </si>
  <si>
    <t>perímetro.</t>
  </si>
  <si>
    <t>• ΔP_nominal: Presión estática de diseño original del sistema de ventilación forzada.</t>
  </si>
  <si>
    <t>• T_evap_nueva y T_evap_anterior: Temperaturas de evaporación corregidas por la</t>
  </si>
  <si>
    <t>eliminación del sobre-enfriamiento superior.</t>
  </si>
  <si>
    <t>• α_estrato: Coeficiente empírico de corrección posicional en función de la altura del estrato.</t>
  </si>
  <si>
    <t>• Estrato Base (Niveles 1 y 2) - α_estrato = 0.05 (5% de Ahorro):</t>
  </si>
  <si>
    <t>Mecanismo Físico: Los niveles inferiores concentran la mayor inercia térmica (&amp;quot;anclas&amp;quot;). Al</t>
  </si>
  <si>
    <t>reubicar el picking masivo, se amplía en 5 cm el radio de circulación perimetral del aire frío</t>
  </si>
  <si>
    <t>descendente.</t>
  </si>
  <si>
    <t>• Estrato Superior (Nivel 3) - α_estrato = 0.10 (10% de Ahorro):</t>
  </si>
  <si>
    <t>Mecanismo Físico: El nivel superior es históricamente la zona propensa a la estratificación</t>
  </si>
  <si>
    <t>térmica por convección natural (acumulación de aire cálido remanente).</t>
  </si>
  <si>
    <t>Impacto Operativo: Al desplazar a este sector los productos livianos (de menor cubicaje), se</t>
  </si>
  <si>
    <t>previene el fenómeno de sobre-enfriamiento por proximidad al evaporador que sufrían en</t>
  </si>
  <si>
    <t>la distribución anterior, optimizando el Coeficiente de Desempeño (COP) global del ciclo.</t>
  </si>
  <si>
    <t>. El Origen Real: Heurística y Rangos Típicos de Auditoría</t>
  </si>
  <si>
    <r>
      <t xml:space="preserve">En la práctica de la consultoría de operaciones logísticas de frío, cuando no se dispone de data logger diferencial instalado, se utilizan </t>
    </r>
    <r>
      <rPr>
        <b/>
        <sz val="11"/>
        <color theme="1"/>
        <rFont val="Calibri"/>
        <family val="2"/>
        <charset val="1"/>
      </rPr>
      <t>factores de corrección estándar por buenas prácticas de layout</t>
    </r>
    <r>
      <rPr>
        <sz val="11"/>
        <color theme="1"/>
        <rFont val="Calibri"/>
        <family val="2"/>
        <charset val="1"/>
      </rPr>
      <t xml:space="preserve"> validados en bibliografía de optimización de almacenes refrigerados.</t>
    </r>
  </si>
  <si>
    <t>Los rangos habituales de mejora energética al corregir la congestión de flujos de aire en estanterías selectivas rondan:</t>
  </si>
  <si>
    <r>
      <t>Entre el 3% y el 6%</t>
    </r>
    <r>
      <rPr>
        <sz val="11"/>
        <color theme="1"/>
        <rFont val="Calibri"/>
        <family val="2"/>
        <charset val="1"/>
      </rPr>
      <t xml:space="preserve"> para zonas de baja fricción y acumulación de masa (adoptado conservadoramente como </t>
    </r>
    <r>
      <rPr>
        <b/>
        <sz val="11"/>
        <color theme="1"/>
        <rFont val="Calibri"/>
        <family val="2"/>
        <charset val="1"/>
      </rPr>
      <t>5%</t>
    </r>
    <r>
      <rPr>
        <sz val="11"/>
        <color theme="1"/>
        <rFont val="Calibri"/>
        <family val="2"/>
        <charset val="1"/>
      </rPr>
      <t>).</t>
    </r>
  </si>
  <si>
    <r>
      <t>Entre el 8% y el 12%</t>
    </r>
    <r>
      <rPr>
        <sz val="11"/>
        <color theme="1"/>
        <rFont val="Calibri"/>
        <family val="2"/>
        <charset val="1"/>
      </rPr>
      <t xml:space="preserve"> para zonas de eliminación de corrientes parásitas superiores (adoptado conservadoramente como </t>
    </r>
    <r>
      <rPr>
        <b/>
        <sz val="11"/>
        <color theme="1"/>
        <rFont val="Calibri"/>
        <family val="2"/>
        <charset val="1"/>
      </rPr>
      <t>10%</t>
    </r>
    <r>
      <rPr>
        <sz val="11"/>
        <color theme="1"/>
        <rFont val="Calibri"/>
        <family val="2"/>
        <charset val="1"/>
      </rPr>
      <t>).</t>
    </r>
  </si>
  <si>
    <t>Variación de Presión Estática ($\Delta P_{\text{estática}}$):</t>
  </si>
  <si>
    <r>
      <t xml:space="preserve">Es la fricción aerodinámica que se elimina al despejar el perímetro de circulación y remover los bloques de </t>
    </r>
    <r>
      <rPr>
        <i/>
        <sz val="11"/>
        <color rgb="FF1F1F1F"/>
        <rFont val="Arial"/>
        <family val="2"/>
      </rPr>
      <t>picking</t>
    </r>
    <r>
      <rPr>
        <sz val="11"/>
        <color rgb="FF1F1F1F"/>
        <rFont val="Arial"/>
        <family val="2"/>
      </rPr>
      <t xml:space="preserve"> masivo de las zonas de flujo crítico.</t>
    </r>
  </si>
  <si>
    <r>
      <t xml:space="preserve">Cuantifica qué porcentaje del "esfuerzo de soplado" de los ventiladores se ha liberado gracias al nuevo </t>
    </r>
    <r>
      <rPr>
        <i/>
        <sz val="11"/>
        <color rgb="FF1F1F1F"/>
        <rFont val="Arial"/>
        <family val="2"/>
      </rPr>
      <t>layout</t>
    </r>
    <r>
      <rPr>
        <sz val="11"/>
        <color rgb="FF1F1F1F"/>
        <rFont val="Arial"/>
        <family val="2"/>
      </rPr>
      <t>.</t>
    </r>
  </si>
  <si>
    <t>El caso de un filtro de aire obstruido:</t>
  </si>
  <si>
    <t>Si un motor intenta aspirar aire a través de un filtro tapado, requiere mayor potencia para vencer la resistencia. Al limpiar el filtro, la contrapresión disminuye y el motor trabaja descansado.</t>
  </si>
  <si>
    <t>Justificación de Valor para el Cliente y la Auditoría</t>
  </si>
  <si>
    <r>
      <t xml:space="preserve">El eje horizontal (X) representa el </t>
    </r>
    <r>
      <rPr>
        <b/>
        <sz val="11"/>
        <color rgb="FF1F1F1F"/>
        <rFont val="Arial"/>
        <family val="2"/>
      </rPr>
      <t>porcentaje de reducción de resistencia aerodinámica</t>
    </r>
    <r>
      <rPr>
        <sz val="11"/>
        <color rgb="FF1F1F1F"/>
        <rFont val="Arial"/>
        <family val="2"/>
      </rPr>
      <t xml:space="preserve"> que obtiene el sistema de refrigeración cuando se </t>
    </r>
  </si>
  <si>
    <t>reordenan las posiciones de almacenamiento dentro de la cámara</t>
  </si>
  <si>
    <t>este eje mide el grado de "alivio" en la circulación del aire frío al eliminar la congestión física en los racks.</t>
  </si>
  <si>
    <t>Presión Estática Nominal P(nominal):</t>
  </si>
  <si>
    <t>Desglose del Eje X:= Delta P(estática)/Delta P_(nominal) en (%)</t>
  </si>
  <si>
    <t>Es la contrapresión de diseño que deben vencer los ventiladores de los evaporadores para impulsar el aire frío a través de toda la cámara cuando está llena de productos.</t>
  </si>
  <si>
    <t>Valor Porcentual del Eje  X (0% a 20%):</t>
  </si>
  <si>
    <t>Ejemplo breve</t>
  </si>
  <si>
    <t>En la cámara ocurre exactamente lo mismo: los pallets mal ubicados actúan como el "filtro obstruido". El eje X indica qué porcentaje de esa obstrucción logramos remover.</t>
  </si>
  <si>
    <r>
      <t>Garantía de Resultados:</t>
    </r>
    <r>
      <rPr>
        <sz val="11"/>
        <color rgb="FF1F1F1F"/>
        <rFont val="Arial"/>
        <family val="2"/>
      </rPr>
      <t xml:space="preserve"> Al fijar el modelo en el punto inicial x= 0%, los coeficientes de ahorro asignados , 5% en base y 10% en techo constituyen el </t>
    </r>
    <r>
      <rPr>
        <b/>
        <sz val="11"/>
        <color rgb="FF1F1F1F"/>
        <rFont val="Arial"/>
        <family val="2"/>
      </rPr>
      <t>piso técnico mínimo garantizado</t>
    </r>
    <r>
      <rPr>
        <sz val="11"/>
        <color rgb="FF1F1F1F"/>
        <rFont val="Arial"/>
        <family val="2"/>
      </rPr>
      <t xml:space="preserve">. </t>
    </r>
  </si>
  <si>
    <t>Cualquier mejora aerodinámica real que ocurra en la práctica desplazará la operación hacia la derecha del eje X, aumentando el ahorro económico por encima del proyectado.</t>
  </si>
  <si>
    <r>
      <t>Posicionamiento en el punto X= 0%:</t>
    </r>
    <r>
      <rPr>
        <sz val="11"/>
        <color rgb="FF1F1F1F"/>
        <rFont val="Arial"/>
        <family val="2"/>
      </rPr>
      <t xml:space="preserve"> Al no disponer de manómetros diferenciales instalados en los ductos para medir la caída de presión exacta en milímetros de columna de agua,</t>
    </r>
  </si>
  <si>
    <t xml:space="preserve"> la consultoría adopta la postura prudente de ubicarse en el origen, X=0% de mejora aerodinámica medida).</t>
  </si>
  <si>
    <t>Monto "piso2 o de minima  estimado de ahorro anual</t>
  </si>
  <si>
    <t xml:space="preserve"> </t>
  </si>
  <si>
    <t>FRIZZIO</t>
  </si>
  <si>
    <t>BOCADITOS</t>
  </si>
  <si>
    <t>TORTAS</t>
  </si>
  <si>
    <t>PALITOS_AGUA</t>
  </si>
  <si>
    <t>Bulto (kg/BULTO)</t>
  </si>
  <si>
    <t>PALITOS_CREMOSO</t>
  </si>
  <si>
    <t>Derecha_CUARTO Rack</t>
  </si>
  <si>
    <t>Ubicación Rack Hoy</t>
  </si>
  <si>
    <t>2-3</t>
  </si>
  <si>
    <t>Posicion_numero P[]</t>
  </si>
  <si>
    <t>P[1-2-3]</t>
  </si>
  <si>
    <t>Nivel 2: P[1,2,3] - Nivel 3: P[1]</t>
  </si>
  <si>
    <t>P[2-3]</t>
  </si>
  <si>
    <t>Kw_h/kg almacenado Producto</t>
  </si>
  <si>
    <t>FAMILIA</t>
  </si>
  <si>
    <t>GRANEL</t>
  </si>
  <si>
    <t>FAMILIARES</t>
  </si>
  <si>
    <t>TENTACIONES</t>
  </si>
  <si>
    <t>PALITOS</t>
  </si>
  <si>
    <t>BOMBONES</t>
  </si>
  <si>
    <t>POSTRES</t>
  </si>
  <si>
    <t>PALITOS_BOMBON</t>
  </si>
  <si>
    <t>Rack</t>
  </si>
  <si>
    <t>Almacen</t>
  </si>
  <si>
    <t>CAMARA</t>
  </si>
  <si>
    <t>FRIZZIO PIZZA JAMON Y QUESO</t>
  </si>
  <si>
    <t>FRIZZIO PIZZA INTEGRAL</t>
  </si>
  <si>
    <t>FRIZZIO PIZZA MUZZA</t>
  </si>
  <si>
    <t>FROODIE WRAPS</t>
  </si>
  <si>
    <t>FRIZZIO MINI PIZZA</t>
  </si>
  <si>
    <t>PECHUGUITAS</t>
  </si>
  <si>
    <t>BASTONCITOS</t>
  </si>
  <si>
    <t>EMPANADAS JAMON Y QUESO / CARNE</t>
  </si>
  <si>
    <t>FRIZZIO PIZZA CASERA</t>
  </si>
  <si>
    <t>FRIZZIO PIZZA CEBOLLA</t>
  </si>
  <si>
    <t>CCC</t>
  </si>
  <si>
    <t>FROODIE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</si>
</sst>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_(* #,##0_);_(* \(#,##0\);_(* \-??_);_(@_)"/>
    <numFmt numFmtId="167" formatCode="_(* #,##0.00_);_(* \(#,##0.00\);_(* \-??_);_(@_)"/>
    <numFmt numFmtId="168" formatCode="_(* #,##0.0_);_(* \(#,##0.0\);_(* \-??_);_(@_)"/>
    <numFmt numFmtId="169" formatCode="_(\$* #,##0_);_(\$* \(#,##0\);_(\$* \-??_);_(@_)"/>
    <numFmt numFmtId="170" formatCode="_(\$* #,##0.000_);_(\$* \(#,##0.000\);_(\$* \-??_);_(@_)"/>
    <numFmt numFmtId="171" formatCode="0.0000"/>
    <numFmt numFmtId="172" formatCode="0.0"/>
    <numFmt numFmtId="173" formatCode="_(\$* #,##0.00_);_(\$* \(#,##0.00\);_(\$* \-??_);_(@_)"/>
    <numFmt numFmtId="174" formatCode="0.0\x"/>
  </numFmts>
  <fonts count="46" x14ac:knownFonts="1">
    <font>
      <sz val="11"/>
      <color theme="1"/>
      <name val="Calibri"/>
      <family val="2"/>
      <charset val="1"/>
    </font>
    <font>
      <b/>
      <sz val="11"/>
      <color rgb="FFFFFFFF"/>
      <name val="Calibri"/>
      <family val="2"/>
      <charset val="1"/>
    </font>
    <font>
      <b/>
      <sz val="11"/>
      <color theme="1"/>
      <name val="Calibri"/>
      <family val="2"/>
      <charset val="1"/>
    </font>
    <font>
      <b/>
      <sz val="11"/>
      <name val="Calibri"/>
      <family val="2"/>
      <charset val="1"/>
    </font>
    <font>
      <b/>
      <sz val="14"/>
      <name val="Arial"/>
      <family val="2"/>
    </font>
    <font>
      <i/>
      <sz val="9"/>
      <color rgb="FF595959"/>
      <name val="Arial"/>
      <family val="2"/>
    </font>
    <font>
      <b/>
      <sz val="11"/>
      <color rgb="FF000000"/>
      <name val="Arial"/>
      <family val="2"/>
    </font>
    <font>
      <sz val="11"/>
      <color rgb="FF0000FF"/>
      <name val="Arial"/>
      <family val="2"/>
    </font>
    <font>
      <b/>
      <sz val="11"/>
      <color rgb="FFFFFFFF"/>
      <name val="Arial"/>
      <family val="2"/>
    </font>
    <font>
      <sz val="11"/>
      <color rgb="FF000000"/>
      <name val="Arial"/>
      <family val="2"/>
    </font>
    <font>
      <b/>
      <sz val="12"/>
      <name val="Arial"/>
      <family val="2"/>
    </font>
    <font>
      <b/>
      <sz val="9"/>
      <color rgb="FF595959"/>
      <name val="Arial"/>
      <family val="2"/>
    </font>
    <font>
      <b/>
      <sz val="16"/>
      <color rgb="FF1F4E5F"/>
      <name val="Arial"/>
      <family val="2"/>
    </font>
    <font>
      <i/>
      <sz val="10"/>
      <color rgb="FF595959"/>
      <name val="Arial"/>
      <family val="2"/>
    </font>
    <font>
      <b/>
      <sz val="18"/>
      <color rgb="FFC00000"/>
      <name val="Arial"/>
      <family val="2"/>
    </font>
    <font>
      <b/>
      <sz val="15"/>
      <color rgb="FFC00000"/>
      <name val="Arial"/>
      <family val="2"/>
    </font>
    <font>
      <sz val="11"/>
      <name val="Arial"/>
      <family val="2"/>
    </font>
    <font>
      <b/>
      <sz val="10"/>
      <color rgb="FF7F6000"/>
      <name val="Arial"/>
      <family val="2"/>
    </font>
    <font>
      <sz val="10"/>
      <name val="Arial"/>
      <family val="2"/>
    </font>
    <font>
      <b/>
      <sz val="14"/>
      <name val="Arial"/>
      <family val="2"/>
      <charset val="1"/>
    </font>
    <font>
      <i/>
      <sz val="9"/>
      <color rgb="FF595959"/>
      <name val="Arial"/>
      <family val="2"/>
      <charset val="1"/>
    </font>
    <font>
      <b/>
      <sz val="11"/>
      <color rgb="FFFFFFFF"/>
      <name val="Arial"/>
      <family val="2"/>
      <charset val="1"/>
    </font>
    <font>
      <sz val="11"/>
      <color rgb="FF000000"/>
      <name val="Arial"/>
      <family val="2"/>
      <charset val="1"/>
    </font>
    <font>
      <sz val="11"/>
      <color rgb="FF0000FF"/>
      <name val="Arial"/>
      <family val="2"/>
      <charset val="1"/>
    </font>
    <font>
      <b/>
      <sz val="11"/>
      <color rgb="FF000000"/>
      <name val="Arial"/>
      <family val="2"/>
      <charset val="1"/>
    </font>
    <font>
      <b/>
      <sz val="9"/>
      <color rgb="FF595959"/>
      <name val="Arial"/>
      <family val="2"/>
      <charset val="1"/>
    </font>
    <font>
      <sz val="9"/>
      <color rgb="FF595959"/>
      <name val="Arial"/>
      <family val="2"/>
      <charset val="1"/>
    </font>
    <font>
      <b/>
      <i/>
      <sz val="11"/>
      <color rgb="FF375623"/>
      <name val="Arial"/>
      <family val="2"/>
      <charset val="1"/>
    </font>
    <font>
      <b/>
      <sz val="24"/>
      <color theme="1"/>
      <name val="Calibri"/>
      <family val="2"/>
      <charset val="1"/>
    </font>
    <font>
      <b/>
      <sz val="18"/>
      <color theme="1"/>
      <name val="Calibri"/>
      <family val="2"/>
      <charset val="1"/>
    </font>
    <font>
      <b/>
      <sz val="11"/>
      <color rgb="FF004F88"/>
      <name val="Calibri"/>
      <family val="2"/>
    </font>
    <font>
      <b/>
      <sz val="14"/>
      <color theme="1"/>
      <name val="Calibri"/>
      <family val="2"/>
      <charset val="1"/>
    </font>
    <font>
      <b/>
      <sz val="11"/>
      <color rgb="FF1F1F1F"/>
      <name val="Arial"/>
      <family val="2"/>
    </font>
    <font>
      <sz val="11"/>
      <color rgb="FF1F1F1F"/>
      <name val="Arial"/>
      <family val="2"/>
    </font>
    <font>
      <sz val="11"/>
      <color theme="1"/>
      <name val="Arial"/>
      <family val="2"/>
    </font>
    <font>
      <b/>
      <sz val="11"/>
      <color theme="1"/>
      <name val="Arial"/>
      <family val="2"/>
    </font>
    <font>
      <b/>
      <sz val="13.5"/>
      <color theme="1"/>
      <name val="Arial"/>
      <family val="2"/>
    </font>
    <font>
      <i/>
      <sz val="11"/>
      <color theme="1"/>
      <name val="Arial"/>
      <family val="2"/>
    </font>
    <font>
      <b/>
      <sz val="11"/>
      <color theme="1"/>
      <name val="Calibri"/>
      <family val="2"/>
    </font>
    <font>
      <u/>
      <sz val="11"/>
      <color theme="10"/>
      <name val="Calibri"/>
      <family val="2"/>
      <charset val="1"/>
    </font>
    <font>
      <b/>
      <sz val="13.5"/>
      <color theme="1"/>
      <name val="Calibri"/>
      <family val="2"/>
      <charset val="1"/>
    </font>
    <font>
      <b/>
      <sz val="13.5"/>
      <color rgb="FF1F1F1F"/>
      <name val="Arial"/>
      <family val="2"/>
    </font>
    <font>
      <i/>
      <sz val="11"/>
      <color rgb="FF1F1F1F"/>
      <name val="Arial"/>
      <family val="2"/>
    </font>
    <font>
      <sz val="11"/>
      <name val="Calibri"/>
      <family val="2"/>
    </font>
    <font>
      <sz val="11"/>
      <color theme="1"/>
      <name val="Calibri"/>
      <family val="2"/>
      <charset val="1"/>
    </font>
    <font>
      <b/>
      <sz val="11"/>
      <name val="Calibri"/>
      <family val="2"/>
    </font>
  </fonts>
  <fills count="9">
    <fill>
      <patternFill patternType="none"/>
    </fill>
    <fill>
      <patternFill patternType="gray125"/>
    </fill>
    <fill>
      <patternFill patternType="solid">
        <fgColor rgb="FF1F4E78"/>
        <bgColor rgb="FF1F4E5F"/>
      </patternFill>
    </fill>
    <fill>
      <patternFill patternType="solid">
        <fgColor rgb="FFFFFF00"/>
        <bgColor rgb="FFFFFF00"/>
      </patternFill>
    </fill>
    <fill>
      <patternFill patternType="solid">
        <fgColor rgb="FF1F4E5F"/>
        <bgColor rgb="FF1F4E78"/>
      </patternFill>
    </fill>
    <fill>
      <patternFill patternType="solid">
        <fgColor rgb="FFF2F2F2"/>
        <bgColor rgb="FFE7E6E6"/>
      </patternFill>
    </fill>
    <fill>
      <patternFill patternType="solid">
        <fgColor rgb="FFD9E1E2"/>
        <bgColor rgb="FFD9D9D9"/>
      </patternFill>
    </fill>
    <fill>
      <patternFill patternType="solid">
        <fgColor rgb="FFFFF2CC"/>
        <bgColor rgb="FFFBE5D6"/>
      </patternFill>
    </fill>
    <fill>
      <patternFill patternType="solid">
        <fgColor rgb="FFFFFF00"/>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style="thin">
        <color rgb="FFBFBFBF"/>
      </left>
      <right style="thin">
        <color rgb="FFBFBFBF"/>
      </right>
      <top style="thin">
        <color rgb="FFBFBFBF"/>
      </top>
      <bottom style="thin">
        <color auto="1"/>
      </bottom>
      <diagonal/>
    </border>
    <border>
      <left style="thin">
        <color rgb="FFBFBFBF"/>
      </left>
      <right style="thin">
        <color rgb="FFBFBFBF"/>
      </right>
      <top/>
      <bottom style="thin">
        <color auto="1"/>
      </bottom>
      <diagonal/>
    </border>
    <border>
      <left style="thin">
        <color rgb="FFBFBFBF"/>
      </left>
      <right/>
      <top/>
      <bottom style="thin">
        <color auto="1"/>
      </bottom>
      <diagonal/>
    </border>
    <border>
      <left/>
      <right/>
      <top/>
      <bottom style="thin">
        <color auto="1"/>
      </bottom>
      <diagonal/>
    </border>
    <border>
      <left/>
      <right style="thin">
        <color rgb="FFBFBFBF"/>
      </right>
      <top/>
      <bottom style="thin">
        <color auto="1"/>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3">
    <xf numFmtId="0" fontId="0" fillId="0" borderId="0"/>
    <xf numFmtId="0" fontId="39" fillId="0" borderId="0" applyNumberFormat="0" applyFill="0" applyBorder="0" applyAlignment="0" applyProtection="0"/>
    <xf numFmtId="9" fontId="44" fillId="0" borderId="0" applyFont="0" applyFill="0" applyBorder="0" applyAlignment="0" applyProtection="0"/>
  </cellStyleXfs>
  <cellXfs count="206">
    <xf numFmtId="0" fontId="0" fillId="0" borderId="0" xfId="0"/>
    <xf numFmtId="0" fontId="0" fillId="0" borderId="0" xfId="0"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vertical="center"/>
    </xf>
    <xf numFmtId="1"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2" xfId="0" applyBorder="1" applyAlignment="1">
      <alignment horizontal="center" vertical="center"/>
    </xf>
    <xf numFmtId="9" fontId="0" fillId="0" borderId="2" xfId="0" applyNumberFormat="1" applyBorder="1" applyAlignment="1">
      <alignment horizontal="center" vertical="center"/>
    </xf>
    <xf numFmtId="165" fontId="0" fillId="3" borderId="3" xfId="0" applyNumberFormat="1" applyFill="1" applyBorder="1" applyAlignment="1">
      <alignment horizontal="center" vertical="center"/>
    </xf>
    <xf numFmtId="166" fontId="0" fillId="3" borderId="0" xfId="0" applyNumberFormat="1" applyFill="1" applyAlignment="1">
      <alignment horizontal="center" vertical="center"/>
    </xf>
    <xf numFmtId="167" fontId="0" fillId="0" borderId="0" xfId="0" applyNumberFormat="1"/>
    <xf numFmtId="168" fontId="0" fillId="3" borderId="0" xfId="0" applyNumberFormat="1" applyFill="1" applyAlignment="1">
      <alignment horizontal="center" vertical="center"/>
    </xf>
    <xf numFmtId="167" fontId="0" fillId="3" borderId="0" xfId="0" applyNumberFormat="1" applyFill="1" applyAlignment="1">
      <alignment horizontal="center" vertical="center"/>
    </xf>
    <xf numFmtId="165" fontId="0" fillId="0" borderId="4" xfId="0" applyNumberFormat="1"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center" vertical="center"/>
    </xf>
    <xf numFmtId="0" fontId="0" fillId="0" borderId="5" xfId="0" applyBorder="1" applyAlignment="1">
      <alignment vertical="center"/>
    </xf>
    <xf numFmtId="1" fontId="0" fillId="0" borderId="5" xfId="0" applyNumberFormat="1" applyBorder="1" applyAlignment="1">
      <alignment horizontal="center" vertical="center"/>
    </xf>
    <xf numFmtId="164" fontId="0" fillId="0" borderId="5" xfId="0" applyNumberFormat="1" applyBorder="1" applyAlignment="1">
      <alignment horizontal="center" vertical="center"/>
    </xf>
    <xf numFmtId="0" fontId="0" fillId="0" borderId="6" xfId="0" applyBorder="1" applyAlignment="1">
      <alignment horizontal="center" vertical="center"/>
    </xf>
    <xf numFmtId="9" fontId="0" fillId="0" borderId="6" xfId="0" applyNumberFormat="1" applyBorder="1" applyAlignment="1">
      <alignment horizontal="center" vertical="center"/>
    </xf>
    <xf numFmtId="165" fontId="0" fillId="3" borderId="7" xfId="0" applyNumberFormat="1" applyFill="1" applyBorder="1" applyAlignment="1">
      <alignment horizontal="center" vertical="center"/>
    </xf>
    <xf numFmtId="166" fontId="0" fillId="3" borderId="8" xfId="0" applyNumberFormat="1" applyFill="1" applyBorder="1" applyAlignment="1">
      <alignment horizontal="center" vertical="center"/>
    </xf>
    <xf numFmtId="167" fontId="0" fillId="0" borderId="8" xfId="0" applyNumberFormat="1" applyBorder="1"/>
    <xf numFmtId="168" fontId="0" fillId="3" borderId="8" xfId="0" applyNumberFormat="1" applyFill="1" applyBorder="1" applyAlignment="1">
      <alignment horizontal="center" vertical="center"/>
    </xf>
    <xf numFmtId="167" fontId="0" fillId="3" borderId="8" xfId="0" applyNumberFormat="1" applyFill="1" applyBorder="1" applyAlignment="1">
      <alignment horizontal="center" vertical="center"/>
    </xf>
    <xf numFmtId="165" fontId="0" fillId="0" borderId="9" xfId="0" applyNumberFormat="1" applyBorder="1" applyAlignment="1">
      <alignment horizontal="center" vertical="center"/>
    </xf>
    <xf numFmtId="9" fontId="2" fillId="0" borderId="6" xfId="0" applyNumberFormat="1" applyFont="1" applyBorder="1" applyAlignment="1">
      <alignment horizontal="center" vertical="center"/>
    </xf>
    <xf numFmtId="169" fontId="2" fillId="0" borderId="6" xfId="0" applyNumberFormat="1" applyFont="1" applyBorder="1" applyAlignment="1">
      <alignment horizontal="center" vertical="center"/>
    </xf>
    <xf numFmtId="1" fontId="3" fillId="0" borderId="7" xfId="0" applyNumberFormat="1" applyFont="1" applyBorder="1" applyAlignment="1">
      <alignment horizontal="center"/>
    </xf>
    <xf numFmtId="169" fontId="3" fillId="0" borderId="6" xfId="0" applyNumberFormat="1" applyFont="1" applyBorder="1" applyAlignment="1">
      <alignment horizontal="center" vertical="center"/>
    </xf>
    <xf numFmtId="170" fontId="2" fillId="0" borderId="6" xfId="0" applyNumberFormat="1" applyFont="1" applyBorder="1" applyAlignment="1">
      <alignment horizontal="center" vertical="center"/>
    </xf>
    <xf numFmtId="170" fontId="2" fillId="0" borderId="7" xfId="0" applyNumberFormat="1" applyFont="1" applyBorder="1"/>
    <xf numFmtId="0" fontId="0" fillId="0" borderId="10" xfId="0" applyBorder="1" applyAlignment="1">
      <alignment horizontal="left"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0" xfId="0" applyNumberFormat="1" applyAlignment="1">
      <alignment horizontal="center"/>
    </xf>
    <xf numFmtId="171" fontId="0" fillId="0" borderId="0" xfId="0" applyNumberFormat="1" applyAlignment="1">
      <alignment horizontal="center"/>
    </xf>
    <xf numFmtId="1" fontId="0" fillId="0" borderId="10" xfId="0" applyNumberFormat="1" applyBorder="1" applyAlignment="1">
      <alignment horizontal="center" vertical="center"/>
    </xf>
    <xf numFmtId="164" fontId="0" fillId="0" borderId="11" xfId="0" applyNumberFormat="1" applyBorder="1" applyAlignment="1">
      <alignment horizontal="center" vertical="center"/>
    </xf>
    <xf numFmtId="172" fontId="0" fillId="0" borderId="10" xfId="0" applyNumberFormat="1" applyBorder="1" applyAlignment="1">
      <alignment horizontal="center" vertical="center"/>
    </xf>
    <xf numFmtId="164" fontId="0" fillId="0" borderId="0" xfId="0" applyNumberFormat="1" applyAlignment="1">
      <alignment horizontal="center" vertical="center"/>
    </xf>
    <xf numFmtId="0" fontId="0" fillId="0" borderId="3" xfId="0" applyBorder="1" applyAlignment="1">
      <alignment horizontal="center" vertical="center"/>
    </xf>
    <xf numFmtId="9" fontId="0" fillId="0" borderId="0" xfId="0" applyNumberFormat="1" applyAlignment="1">
      <alignment horizontal="center" vertical="center"/>
    </xf>
    <xf numFmtId="9" fontId="0" fillId="0" borderId="4" xfId="0" applyNumberFormat="1" applyBorder="1" applyAlignment="1">
      <alignment horizontal="center" vertical="center"/>
    </xf>
    <xf numFmtId="0" fontId="0" fillId="0" borderId="11" xfId="0" applyBorder="1" applyAlignment="1">
      <alignment horizontal="left" vertical="center"/>
    </xf>
    <xf numFmtId="0" fontId="0" fillId="0" borderId="0" xfId="0" applyAlignment="1">
      <alignment horizontal="left" vertical="center"/>
    </xf>
    <xf numFmtId="0" fontId="0" fillId="0" borderId="12" xfId="0" applyBorder="1" applyAlignment="1">
      <alignment vertical="center"/>
    </xf>
    <xf numFmtId="172" fontId="0" fillId="0" borderId="2" xfId="0" applyNumberFormat="1" applyBorder="1" applyAlignment="1">
      <alignment horizontal="center" vertical="center"/>
    </xf>
    <xf numFmtId="0" fontId="0" fillId="0" borderId="8" xfId="0" applyBorder="1"/>
    <xf numFmtId="0" fontId="0" fillId="0" borderId="8" xfId="0" applyBorder="1" applyAlignment="1">
      <alignment horizontal="center" vertical="center"/>
    </xf>
    <xf numFmtId="172" fontId="0" fillId="0" borderId="6" xfId="0" applyNumberFormat="1" applyBorder="1" applyAlignment="1">
      <alignment horizontal="center" vertical="center"/>
    </xf>
    <xf numFmtId="1" fontId="0" fillId="0" borderId="7" xfId="0" applyNumberFormat="1" applyBorder="1" applyAlignment="1">
      <alignment horizontal="center"/>
    </xf>
    <xf numFmtId="0" fontId="0" fillId="0" borderId="8" xfId="0" applyBorder="1" applyAlignment="1">
      <alignment horizontal="center"/>
    </xf>
    <xf numFmtId="1" fontId="0" fillId="0" borderId="8" xfId="0" applyNumberFormat="1" applyBorder="1" applyAlignment="1">
      <alignment horizontal="center"/>
    </xf>
    <xf numFmtId="164" fontId="0" fillId="0" borderId="8" xfId="0" applyNumberFormat="1" applyBorder="1" applyAlignment="1">
      <alignment horizontal="center" vertical="center"/>
    </xf>
    <xf numFmtId="0" fontId="0" fillId="0" borderId="7" xfId="0" applyBorder="1" applyAlignment="1">
      <alignment horizontal="center" vertical="center"/>
    </xf>
    <xf numFmtId="165" fontId="0" fillId="3" borderId="8" xfId="0" applyNumberFormat="1" applyFill="1" applyBorder="1" applyAlignment="1">
      <alignment horizontal="center" vertical="center"/>
    </xf>
    <xf numFmtId="165" fontId="2" fillId="0" borderId="8" xfId="0" applyNumberFormat="1" applyFont="1" applyBorder="1" applyAlignment="1">
      <alignment horizontal="center"/>
    </xf>
    <xf numFmtId="0" fontId="0" fillId="0" borderId="3" xfId="0" applyBorder="1" applyAlignment="1">
      <alignment horizontal="left" vertical="center"/>
    </xf>
    <xf numFmtId="0" fontId="0" fillId="0" borderId="0" xfId="0" applyAlignment="1">
      <alignment vertical="center"/>
    </xf>
    <xf numFmtId="1" fontId="0" fillId="0" borderId="0" xfId="0" applyNumberFormat="1" applyAlignment="1">
      <alignment horizontal="center" vertical="center"/>
    </xf>
    <xf numFmtId="2" fontId="0" fillId="0" borderId="0" xfId="0" applyNumberFormat="1" applyAlignment="1">
      <alignment horizontal="center"/>
    </xf>
    <xf numFmtId="165" fontId="0" fillId="3" borderId="0" xfId="0" applyNumberFormat="1" applyFill="1" applyAlignment="1">
      <alignment horizontal="center" vertical="center"/>
    </xf>
    <xf numFmtId="165" fontId="0" fillId="0" borderId="0" xfId="0" applyNumberFormat="1" applyAlignment="1">
      <alignment horizontal="center" vertical="center"/>
    </xf>
    <xf numFmtId="0" fontId="0" fillId="0" borderId="8" xfId="0" applyBorder="1" applyAlignment="1">
      <alignment horizontal="left" vertical="center"/>
    </xf>
    <xf numFmtId="0" fontId="0" fillId="0" borderId="8" xfId="0" applyBorder="1" applyAlignment="1">
      <alignment vertical="center"/>
    </xf>
    <xf numFmtId="172" fontId="0" fillId="0" borderId="8" xfId="0" applyNumberFormat="1" applyBorder="1" applyAlignment="1">
      <alignment horizontal="center" vertical="center"/>
    </xf>
    <xf numFmtId="171" fontId="0" fillId="0" borderId="8" xfId="0" applyNumberFormat="1" applyBorder="1" applyAlignment="1">
      <alignment horizontal="center"/>
    </xf>
    <xf numFmtId="1" fontId="0" fillId="0" borderId="6" xfId="0" applyNumberFormat="1" applyBorder="1" applyAlignment="1">
      <alignment horizontal="center" vertical="center"/>
    </xf>
    <xf numFmtId="2" fontId="0" fillId="0" borderId="8" xfId="0" applyNumberFormat="1" applyBorder="1" applyAlignment="1">
      <alignment horizontal="center"/>
    </xf>
    <xf numFmtId="9" fontId="0" fillId="0" borderId="8" xfId="0" applyNumberFormat="1" applyBorder="1" applyAlignment="1">
      <alignment horizontal="center" vertical="center"/>
    </xf>
    <xf numFmtId="0" fontId="0" fillId="0" borderId="9" xfId="0" applyBorder="1" applyAlignment="1">
      <alignment horizontal="center" vertical="center"/>
    </xf>
    <xf numFmtId="10" fontId="2" fillId="0" borderId="8" xfId="0" applyNumberFormat="1" applyFont="1" applyBorder="1" applyAlignment="1">
      <alignment horizontal="center"/>
    </xf>
    <xf numFmtId="0" fontId="0" fillId="0" borderId="10" xfId="0" applyBorder="1" applyAlignment="1">
      <alignment vertical="center"/>
    </xf>
    <xf numFmtId="173" fontId="0" fillId="0" borderId="0" xfId="0" applyNumberFormat="1" applyAlignment="1">
      <alignment horizontal="center"/>
    </xf>
    <xf numFmtId="0" fontId="4" fillId="0" borderId="0" xfId="0" applyFont="1"/>
    <xf numFmtId="0" fontId="5" fillId="0" borderId="0" xfId="0" applyFont="1"/>
    <xf numFmtId="0" fontId="6" fillId="0" borderId="0" xfId="0" applyFont="1"/>
    <xf numFmtId="2" fontId="7" fillId="0" borderId="0" xfId="0" applyNumberFormat="1" applyFont="1" applyAlignment="1">
      <alignment horizontal="center" vertical="center" wrapText="1"/>
    </xf>
    <xf numFmtId="0" fontId="8" fillId="4" borderId="1" xfId="0" applyFont="1" applyFill="1" applyBorder="1" applyAlignment="1">
      <alignment horizontal="center" vertical="center" wrapText="1"/>
    </xf>
    <xf numFmtId="0" fontId="9" fillId="0" borderId="1" xfId="0" applyFont="1" applyBorder="1" applyAlignment="1">
      <alignment horizontal="left"/>
    </xf>
    <xf numFmtId="0" fontId="9" fillId="0" borderId="1" xfId="0" applyFont="1" applyBorder="1" applyAlignment="1">
      <alignment horizontal="center" vertical="center" wrapText="1"/>
    </xf>
    <xf numFmtId="171" fontId="9" fillId="0" borderId="1" xfId="0" applyNumberFormat="1" applyFont="1" applyBorder="1" applyAlignment="1">
      <alignment horizontal="center" vertical="center" wrapText="1"/>
    </xf>
    <xf numFmtId="2" fontId="9" fillId="0" borderId="1"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4" fontId="9" fillId="0" borderId="1" xfId="0" applyNumberFormat="1" applyFont="1" applyBorder="1" applyAlignment="1">
      <alignment horizontal="center" vertical="center" wrapText="1"/>
    </xf>
    <xf numFmtId="164" fontId="9"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9" fillId="0" borderId="1" xfId="0" applyFont="1" applyBorder="1" applyAlignment="1">
      <alignment horizontal="left" wrapText="1"/>
    </xf>
    <xf numFmtId="0" fontId="10" fillId="0" borderId="0" xfId="0" applyFont="1"/>
    <xf numFmtId="0" fontId="9" fillId="0" borderId="0" xfId="0" applyFont="1" applyAlignment="1">
      <alignment horizontal="left"/>
    </xf>
    <xf numFmtId="4" fontId="6" fillId="0" borderId="0" xfId="0" applyNumberFormat="1" applyFont="1"/>
    <xf numFmtId="165" fontId="6" fillId="0" borderId="0" xfId="0" applyNumberFormat="1" applyFont="1"/>
    <xf numFmtId="165" fontId="7" fillId="0" borderId="0" xfId="0" applyNumberFormat="1" applyFont="1"/>
    <xf numFmtId="0" fontId="6" fillId="0" borderId="0" xfId="0" applyFont="1" applyAlignment="1">
      <alignment horizontal="left"/>
    </xf>
    <xf numFmtId="0" fontId="11" fillId="0" borderId="0" xfId="0" applyFont="1"/>
    <xf numFmtId="0" fontId="12" fillId="0" borderId="0" xfId="0" applyFont="1"/>
    <xf numFmtId="0" fontId="13" fillId="0" borderId="0" xfId="0" applyFont="1"/>
    <xf numFmtId="0" fontId="9" fillId="0" borderId="0" xfId="0" applyFont="1"/>
    <xf numFmtId="164" fontId="7" fillId="0" borderId="0" xfId="0" applyNumberFormat="1" applyFont="1"/>
    <xf numFmtId="2" fontId="7" fillId="0" borderId="0" xfId="0" applyNumberFormat="1" applyFont="1"/>
    <xf numFmtId="165" fontId="9" fillId="0" borderId="0" xfId="0" applyNumberFormat="1" applyFont="1"/>
    <xf numFmtId="0" fontId="16" fillId="0" borderId="0" xfId="0" applyFont="1"/>
    <xf numFmtId="4" fontId="16" fillId="0" borderId="0" xfId="0" applyNumberFormat="1" applyFont="1"/>
    <xf numFmtId="165" fontId="16" fillId="0" borderId="0" xfId="0" applyNumberFormat="1" applyFont="1"/>
    <xf numFmtId="4" fontId="8" fillId="4" borderId="1" xfId="0" applyNumberFormat="1"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6" fillId="6" borderId="1" xfId="0" applyFont="1" applyFill="1" applyBorder="1" applyAlignment="1">
      <alignment horizontal="left"/>
    </xf>
    <xf numFmtId="4" fontId="6" fillId="6" borderId="1" xfId="0" applyNumberFormat="1" applyFont="1" applyFill="1" applyBorder="1" applyAlignment="1">
      <alignment horizontal="center" vertical="center" wrapText="1"/>
    </xf>
    <xf numFmtId="0" fontId="16" fillId="6" borderId="1" xfId="0" applyFont="1" applyFill="1" applyBorder="1" applyAlignment="1">
      <alignment horizontal="center" vertical="center" wrapText="1"/>
    </xf>
    <xf numFmtId="0" fontId="9" fillId="7" borderId="1" xfId="0" applyFont="1" applyFill="1" applyBorder="1" applyAlignment="1">
      <alignment horizontal="left"/>
    </xf>
    <xf numFmtId="4" fontId="9" fillId="7" borderId="1" xfId="0" applyNumberFormat="1" applyFont="1" applyFill="1" applyBorder="1" applyAlignment="1">
      <alignment horizontal="center" vertical="center" wrapText="1"/>
    </xf>
    <xf numFmtId="174" fontId="6" fillId="7" borderId="1" xfId="0" applyNumberFormat="1" applyFont="1" applyFill="1" applyBorder="1" applyAlignment="1">
      <alignment horizontal="center" vertical="center" wrapText="1"/>
    </xf>
    <xf numFmtId="0" fontId="19" fillId="0" borderId="0" xfId="0" applyFont="1"/>
    <xf numFmtId="0" fontId="2" fillId="0" borderId="0" xfId="0" applyFont="1" applyAlignment="1">
      <alignment horizontal="center"/>
    </xf>
    <xf numFmtId="0" fontId="20" fillId="0" borderId="0" xfId="0" applyFont="1"/>
    <xf numFmtId="0" fontId="21" fillId="4" borderId="1" xfId="0" applyFont="1" applyFill="1" applyBorder="1" applyAlignment="1">
      <alignment horizontal="center" vertical="center" wrapText="1"/>
    </xf>
    <xf numFmtId="0" fontId="21" fillId="4" borderId="0" xfId="0" applyFont="1" applyFill="1"/>
    <xf numFmtId="0" fontId="22" fillId="0" borderId="1" xfId="0" applyFont="1" applyBorder="1" applyAlignment="1">
      <alignment horizontal="left"/>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4" fontId="23" fillId="0" borderId="1" xfId="0" applyNumberFormat="1" applyFont="1" applyBorder="1" applyAlignment="1">
      <alignment horizontal="center" vertical="center" wrapText="1"/>
    </xf>
    <xf numFmtId="4" fontId="22" fillId="0" borderId="1"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171" fontId="22" fillId="0" borderId="1" xfId="0" applyNumberFormat="1" applyFont="1" applyBorder="1" applyAlignment="1">
      <alignment horizontal="center" vertical="center" wrapText="1"/>
    </xf>
    <xf numFmtId="3" fontId="22" fillId="0" borderId="1" xfId="0" applyNumberFormat="1" applyFont="1" applyBorder="1" applyAlignment="1">
      <alignment horizontal="center" vertical="center" wrapText="1"/>
    </xf>
    <xf numFmtId="0" fontId="24" fillId="6" borderId="1" xfId="0" applyFont="1" applyFill="1" applyBorder="1" applyAlignment="1">
      <alignment horizontal="left"/>
    </xf>
    <xf numFmtId="0" fontId="0" fillId="6" borderId="1" xfId="0" applyFill="1" applyBorder="1" applyAlignment="1">
      <alignment horizontal="center" vertical="center" wrapText="1"/>
    </xf>
    <xf numFmtId="0" fontId="24" fillId="6" borderId="1" xfId="0" applyFont="1" applyFill="1" applyBorder="1" applyAlignment="1">
      <alignment horizontal="center" vertical="center" wrapText="1"/>
    </xf>
    <xf numFmtId="4" fontId="24" fillId="6" borderId="1" xfId="0" applyNumberFormat="1" applyFont="1" applyFill="1" applyBorder="1" applyAlignment="1">
      <alignment horizontal="center" vertical="center" wrapText="1"/>
    </xf>
    <xf numFmtId="2" fontId="24" fillId="6" borderId="1" xfId="0" applyNumberFormat="1" applyFont="1" applyFill="1" applyBorder="1" applyAlignment="1">
      <alignment horizontal="center" vertical="center" wrapText="1"/>
    </xf>
    <xf numFmtId="171" fontId="24" fillId="6" borderId="1" xfId="0" applyNumberFormat="1" applyFont="1" applyFill="1" applyBorder="1" applyAlignment="1">
      <alignment horizontal="center" vertical="center" wrapText="1"/>
    </xf>
    <xf numFmtId="0" fontId="24" fillId="6" borderId="0" xfId="0" applyFont="1" applyFill="1" applyAlignment="1">
      <alignment horizontal="left"/>
    </xf>
    <xf numFmtId="0" fontId="0" fillId="6" borderId="0" xfId="0" applyFill="1" applyAlignment="1">
      <alignment horizontal="center" vertical="center" wrapText="1"/>
    </xf>
    <xf numFmtId="0" fontId="24" fillId="6" borderId="0" xfId="0" applyFont="1" applyFill="1" applyAlignment="1">
      <alignment horizontal="center" vertical="center" wrapText="1"/>
    </xf>
    <xf numFmtId="4" fontId="24" fillId="6" borderId="0" xfId="0" applyNumberFormat="1" applyFont="1" applyFill="1" applyAlignment="1">
      <alignment horizontal="center" vertical="center" wrapText="1"/>
    </xf>
    <xf numFmtId="0" fontId="25" fillId="0" borderId="0" xfId="0" applyFont="1"/>
    <xf numFmtId="0" fontId="26" fillId="0" borderId="0" xfId="0" applyFont="1"/>
    <xf numFmtId="0" fontId="27" fillId="0" borderId="1" xfId="0" applyFont="1" applyBorder="1" applyAlignment="1">
      <alignment horizontal="center" vertical="center" wrapText="1"/>
    </xf>
    <xf numFmtId="0" fontId="28" fillId="0" borderId="0" xfId="0" applyFont="1" applyAlignment="1">
      <alignment vertical="center"/>
    </xf>
    <xf numFmtId="0" fontId="2" fillId="0" borderId="13" xfId="0" applyFont="1" applyBorder="1" applyAlignment="1">
      <alignment horizontal="center" vertical="center" wrapText="1"/>
    </xf>
    <xf numFmtId="0" fontId="2" fillId="0" borderId="13" xfId="0" applyFont="1" applyBorder="1" applyAlignment="1">
      <alignment vertical="center" wrapText="1"/>
    </xf>
    <xf numFmtId="0" fontId="0" fillId="0" borderId="13" xfId="0" applyBorder="1" applyAlignment="1">
      <alignment vertical="center" wrapText="1"/>
    </xf>
    <xf numFmtId="0" fontId="9" fillId="0" borderId="0" xfId="0" applyFont="1" applyAlignment="1">
      <alignment horizontal="left" vertical="center" wrapText="1"/>
    </xf>
    <xf numFmtId="0" fontId="29" fillId="0" borderId="0" xfId="0" applyFont="1" applyAlignment="1">
      <alignment vertical="center"/>
    </xf>
    <xf numFmtId="9" fontId="0" fillId="0" borderId="13" xfId="0" applyNumberFormat="1" applyBorder="1" applyAlignment="1">
      <alignment vertical="center" wrapText="1"/>
    </xf>
    <xf numFmtId="0" fontId="2" fillId="0" borderId="0" xfId="0" applyFont="1"/>
    <xf numFmtId="0" fontId="30" fillId="0" borderId="0" xfId="0" applyFont="1" applyAlignment="1">
      <alignment horizontal="center"/>
    </xf>
    <xf numFmtId="1" fontId="30" fillId="0" borderId="0" xfId="0" applyNumberFormat="1" applyFont="1" applyAlignment="1">
      <alignment horizontal="center"/>
    </xf>
    <xf numFmtId="0" fontId="31" fillId="0" borderId="0" xfId="0" applyFont="1"/>
    <xf numFmtId="0" fontId="0" fillId="0" borderId="0" xfId="0" applyAlignment="1">
      <alignment vertical="center" readingOrder="1"/>
    </xf>
    <xf numFmtId="0" fontId="32" fillId="0" borderId="0" xfId="0" applyFont="1" applyAlignment="1">
      <alignment vertical="center" readingOrder="1"/>
    </xf>
    <xf numFmtId="0" fontId="33" fillId="0" borderId="0" xfId="0" applyFont="1" applyAlignment="1">
      <alignment vertical="center" readingOrder="1"/>
    </xf>
    <xf numFmtId="0" fontId="34"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indent="1"/>
    </xf>
    <xf numFmtId="0" fontId="35" fillId="0" borderId="0" xfId="0" applyFont="1" applyAlignment="1">
      <alignment horizontal="left" vertical="center" indent="1"/>
    </xf>
    <xf numFmtId="0" fontId="34" fillId="0" borderId="0" xfId="0" applyFont="1" applyAlignment="1">
      <alignment horizontal="left" vertical="center" indent="1"/>
    </xf>
    <xf numFmtId="0" fontId="37" fillId="0" borderId="0" xfId="0" applyFont="1" applyAlignment="1">
      <alignment horizontal="left" vertical="center" indent="2"/>
    </xf>
    <xf numFmtId="0" fontId="0" fillId="0" borderId="0" xfId="0" applyAlignment="1">
      <alignment horizontal="left" vertical="center" indent="2"/>
    </xf>
    <xf numFmtId="0" fontId="38" fillId="0" borderId="0" xfId="0" applyFont="1"/>
    <xf numFmtId="0" fontId="39" fillId="0" borderId="0" xfId="1" applyAlignment="1">
      <alignment vertical="center" readingOrder="1"/>
    </xf>
    <xf numFmtId="0" fontId="40" fillId="0" borderId="0" xfId="0" applyFont="1" applyAlignment="1">
      <alignment vertical="center"/>
    </xf>
    <xf numFmtId="0" fontId="2" fillId="0" borderId="0" xfId="0" applyFont="1" applyAlignment="1">
      <alignment horizontal="left" vertical="center" indent="2"/>
    </xf>
    <xf numFmtId="0" fontId="0" fillId="0" borderId="0" xfId="0" applyAlignment="1">
      <alignment horizontal="left" vertical="center" wrapText="1"/>
    </xf>
    <xf numFmtId="0" fontId="0" fillId="0" borderId="0" xfId="0" applyAlignment="1">
      <alignment wrapText="1"/>
    </xf>
    <xf numFmtId="0" fontId="41" fillId="0" borderId="0" xfId="0" applyFont="1" applyAlignment="1">
      <alignment vertical="center" readingOrder="1"/>
    </xf>
    <xf numFmtId="0" fontId="32" fillId="0" borderId="0" xfId="0" applyFont="1" applyAlignment="1">
      <alignment horizontal="left" vertical="center" indent="1" readingOrder="1"/>
    </xf>
    <xf numFmtId="0" fontId="0" fillId="0" borderId="0" xfId="0" applyAlignment="1">
      <alignment horizontal="right" vertical="center" indent="1" readingOrder="1"/>
    </xf>
    <xf numFmtId="0" fontId="33" fillId="0" borderId="0" xfId="0" applyFont="1" applyAlignment="1">
      <alignment horizontal="right" vertical="center" indent="1" readingOrder="1"/>
    </xf>
    <xf numFmtId="0" fontId="33" fillId="0" borderId="0" xfId="0" applyFont="1" applyAlignment="1">
      <alignment horizontal="left" vertical="center" indent="2" readingOrder="1"/>
    </xf>
    <xf numFmtId="0" fontId="32" fillId="8" borderId="0" xfId="0" applyFont="1" applyFill="1" applyAlignment="1">
      <alignment horizontal="left" vertical="center" indent="1" readingOrder="1"/>
    </xf>
    <xf numFmtId="0" fontId="0" fillId="8" borderId="0" xfId="0" applyFill="1"/>
    <xf numFmtId="1" fontId="0" fillId="0" borderId="2" xfId="0" applyNumberFormat="1" applyBorder="1" applyAlignment="1">
      <alignment horizontal="center" vertical="center"/>
    </xf>
    <xf numFmtId="172" fontId="0" fillId="0" borderId="0" xfId="0" applyNumberFormat="1" applyAlignment="1">
      <alignment horizontal="center" vertical="center"/>
    </xf>
    <xf numFmtId="14" fontId="0" fillId="0" borderId="0" xfId="0" quotePrefix="1" applyNumberFormat="1" applyAlignment="1">
      <alignment horizontal="center"/>
    </xf>
    <xf numFmtId="0" fontId="0" fillId="0" borderId="0" xfId="0" quotePrefix="1" applyAlignment="1">
      <alignment horizontal="center"/>
    </xf>
    <xf numFmtId="164" fontId="0" fillId="0" borderId="0" xfId="0" applyNumberFormat="1" applyAlignment="1">
      <alignment horizontal="center"/>
    </xf>
    <xf numFmtId="164" fontId="0" fillId="0" borderId="9" xfId="0" applyNumberFormat="1" applyBorder="1" applyAlignment="1">
      <alignment horizontal="center"/>
    </xf>
    <xf numFmtId="14" fontId="0" fillId="0" borderId="8" xfId="0" quotePrefix="1" applyNumberFormat="1" applyBorder="1" applyAlignment="1">
      <alignment horizontal="center"/>
    </xf>
    <xf numFmtId="0" fontId="0" fillId="0" borderId="9" xfId="0" applyBorder="1"/>
    <xf numFmtId="0" fontId="0" fillId="0" borderId="6" xfId="0" applyBorder="1" applyAlignment="1">
      <alignment horizontal="center"/>
    </xf>
    <xf numFmtId="0" fontId="43" fillId="0" borderId="0" xfId="0" applyFont="1" applyAlignment="1">
      <alignment horizontal="center" vertical="center"/>
    </xf>
    <xf numFmtId="0" fontId="43" fillId="0" borderId="0" xfId="0" applyFont="1" applyAlignment="1">
      <alignment vertical="center"/>
    </xf>
    <xf numFmtId="0" fontId="43" fillId="0" borderId="0" xfId="0" applyFont="1" applyAlignment="1">
      <alignment horizontal="center"/>
    </xf>
    <xf numFmtId="0" fontId="43" fillId="0" borderId="0" xfId="0" applyFont="1"/>
    <xf numFmtId="2" fontId="43" fillId="0" borderId="0" xfId="0" applyNumberFormat="1" applyFont="1" applyAlignment="1">
      <alignment horizontal="center"/>
    </xf>
    <xf numFmtId="0" fontId="43" fillId="0" borderId="8" xfId="0" applyFont="1" applyBorder="1" applyAlignment="1">
      <alignment vertical="center"/>
    </xf>
    <xf numFmtId="0" fontId="43" fillId="0" borderId="8" xfId="0" applyFont="1" applyBorder="1" applyAlignment="1">
      <alignment horizontal="center"/>
    </xf>
    <xf numFmtId="1" fontId="0" fillId="0" borderId="8" xfId="0" applyNumberFormat="1" applyBorder="1" applyAlignment="1">
      <alignment horizontal="center" vertical="center"/>
    </xf>
    <xf numFmtId="0" fontId="43" fillId="0" borderId="8" xfId="0" applyFont="1" applyBorder="1" applyAlignment="1">
      <alignment horizontal="center" vertical="center"/>
    </xf>
    <xf numFmtId="165" fontId="0" fillId="0" borderId="8" xfId="0" applyNumberFormat="1" applyBorder="1" applyAlignment="1">
      <alignment horizontal="center"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11" fillId="5" borderId="1" xfId="0" applyFont="1" applyFill="1" applyBorder="1" applyAlignment="1">
      <alignment horizontal="left" vertical="center" wrapText="1"/>
    </xf>
    <xf numFmtId="165" fontId="14"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horizontal="center" vertical="center" wrapText="1"/>
    </xf>
    <xf numFmtId="165" fontId="45" fillId="0" borderId="8" xfId="2" applyNumberFormat="1" applyFont="1" applyBorder="1" applyAlignment="1">
      <alignment horizontal="center"/>
    </xf>
    <xf numFmtId="10" fontId="45" fillId="0" borderId="8" xfId="2" applyNumberFormat="1" applyFont="1" applyBorder="1" applyAlignment="1">
      <alignment horizontal="center"/>
    </xf>
    <xf numFmtId="0" fontId="0" fillId="0" borderId="0" xfId="0" applyBorder="1" applyAlignment="1">
      <alignment horizontal="center"/>
    </xf>
    <xf numFmtId="0" fontId="0" fillId="0" borderId="0" xfId="0" applyAlignment="1">
      <alignment horizontal="left"/>
    </xf>
  </cellXfs>
  <cellStyles count="3">
    <cellStyle name="Hipervínculo" xfId="1" builtinId="8"/>
    <cellStyle name="Normal" xfId="0" builtinId="0"/>
    <cellStyle name="Porcentaje" xfId="2" builtinId="5"/>
  </cellStyles>
  <dxfs count="3">
    <dxf>
      <fill>
        <patternFill>
          <bgColor rgb="FFFBE5D6"/>
        </patternFill>
      </fill>
    </dxf>
    <dxf>
      <fill>
        <patternFill>
          <bgColor rgb="FFE7E6E6"/>
        </patternFill>
      </fill>
    </dxf>
    <dxf>
      <fill>
        <patternFill>
          <bgColor rgb="FFFFF2C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7E6E6"/>
      <rgbColor rgb="FFD9E1E2"/>
      <rgbColor rgb="FFFFFF99"/>
      <rgbColor rgb="FF99CCFF"/>
      <rgbColor rgb="FFFF99CC"/>
      <rgbColor rgb="FFCC99FF"/>
      <rgbColor rgb="FFFBE5D6"/>
      <rgbColor rgb="FF3366FF"/>
      <rgbColor rgb="FF33CCCC"/>
      <rgbColor rgb="FF99CC00"/>
      <rgbColor rgb="FFFFC000"/>
      <rgbColor rgb="FFFF9900"/>
      <rgbColor rgb="FFFF6600"/>
      <rgbColor rgb="FF595959"/>
      <rgbColor rgb="FFB3B3B3"/>
      <rgbColor rgb="FF1F4E5F"/>
      <rgbColor rgb="FF70AD47"/>
      <rgbColor rgb="FF003300"/>
      <rgbColor rgb="FF333300"/>
      <rgbColor rgb="FF993300"/>
      <rgbColor rgb="FF993366"/>
      <rgbColor rgb="FF1F4E78"/>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Ahorro Anual Estimado por Producto (USD) — por Reducción de Infiltración de Aire</a:t>
            </a:r>
          </a:p>
        </c:rich>
      </c:tx>
      <c:overlay val="0"/>
      <c:spPr>
        <a:noFill/>
        <a:ln w="0">
          <a:noFill/>
        </a:ln>
      </c:spPr>
    </c:title>
    <c:autoTitleDeleted val="0"/>
    <c:plotArea>
      <c:layout/>
      <c:barChart>
        <c:barDir val="col"/>
        <c:grouping val="clustered"/>
        <c:varyColors val="0"/>
        <c:ser>
          <c:idx val="0"/>
          <c:order val="0"/>
          <c:tx>
            <c:strRef>
              <c:f>'Caso de Negocio '!$G$20</c:f>
              <c:strCache>
                <c:ptCount val="1"/>
                <c:pt idx="0">
                  <c:v>Ahorro Mínimo (5% del costo es aire)</c:v>
                </c:pt>
              </c:strCache>
            </c:strRef>
          </c:tx>
          <c:spPr>
            <a:solidFill>
              <a:srgbClr val="FFC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'Caso de Negocio '!$A$21:$A$24</c:f>
              <c:strCache>
                <c:ptCount val="4"/>
                <c:pt idx="0">
                  <c:v>GRANEL A</c:v>
                </c:pt>
                <c:pt idx="1">
                  <c:v>GRANEL B</c:v>
                </c:pt>
                <c:pt idx="2">
                  <c:v>TENTACIONES_1</c:v>
                </c:pt>
                <c:pt idx="3">
                  <c:v>TENTACIONES_2</c:v>
                </c:pt>
              </c:strCache>
            </c:strRef>
          </c:cat>
          <c:val>
            <c:numRef>
              <c:f>'Caso de Negocio '!$G$21:$G$24</c:f>
              <c:numCache>
                <c:formatCode>#,##0.00</c:formatCode>
                <c:ptCount val="4"/>
                <c:pt idx="0">
                  <c:v>323.71211006390831</c:v>
                </c:pt>
                <c:pt idx="1">
                  <c:v>222.2926430684974</c:v>
                </c:pt>
                <c:pt idx="2">
                  <c:v>47.862950827630023</c:v>
                </c:pt>
                <c:pt idx="3">
                  <c:v>60.481246672044087</c:v>
                </c:pt>
              </c:numCache>
            </c:numRef>
          </c:val>
          <c:extLst>
            <c:ext xmlns:c16="http://schemas.microsoft.com/office/drawing/2014/chart" uri="{C3380CC4-5D6E-409C-BE32-E72D297353CC}">
              <c16:uniqueId val="{00000000-B953-422C-B1B6-DE5A5A824221}"/>
            </c:ext>
          </c:extLst>
        </c:ser>
        <c:ser>
          <c:idx val="1"/>
          <c:order val="1"/>
          <c:tx>
            <c:strRef>
              <c:f>'Caso de Negocio '!$H$20</c:f>
              <c:strCache>
                <c:ptCount val="1"/>
                <c:pt idx="0">
                  <c:v>Ahorro Máximo (10% del costo es aire)</c:v>
                </c:pt>
              </c:strCache>
            </c:strRef>
          </c:tx>
          <c:spPr>
            <a:solidFill>
              <a:srgbClr val="C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'Caso de Negocio '!$A$21:$A$24</c:f>
              <c:strCache>
                <c:ptCount val="4"/>
                <c:pt idx="0">
                  <c:v>GRANEL A</c:v>
                </c:pt>
                <c:pt idx="1">
                  <c:v>GRANEL B</c:v>
                </c:pt>
                <c:pt idx="2">
                  <c:v>TENTACIONES_1</c:v>
                </c:pt>
                <c:pt idx="3">
                  <c:v>TENTACIONES_2</c:v>
                </c:pt>
              </c:strCache>
            </c:strRef>
          </c:cat>
          <c:val>
            <c:numRef>
              <c:f>'Caso de Negocio '!$H$21:$H$24</c:f>
              <c:numCache>
                <c:formatCode>#,##0.00</c:formatCode>
                <c:ptCount val="4"/>
                <c:pt idx="0">
                  <c:v>485.56816509586235</c:v>
                </c:pt>
                <c:pt idx="1">
                  <c:v>333.43896460274613</c:v>
                </c:pt>
                <c:pt idx="2">
                  <c:v>71.794426241445024</c:v>
                </c:pt>
                <c:pt idx="3">
                  <c:v>90.721870008066119</c:v>
                </c:pt>
              </c:numCache>
            </c:numRef>
          </c:val>
          <c:extLst>
            <c:ext xmlns:c16="http://schemas.microsoft.com/office/drawing/2014/chart" uri="{C3380CC4-5D6E-409C-BE32-E72D297353CC}">
              <c16:uniqueId val="{00000001-B953-422C-B1B6-DE5A5A824221}"/>
            </c:ext>
          </c:extLst>
        </c:ser>
        <c:dLbls>
          <c:showLegendKey val="0"/>
          <c:showVal val="0"/>
          <c:showCatName val="0"/>
          <c:showSerName val="0"/>
          <c:showPercent val="0"/>
          <c:showBubbleSize val="0"/>
        </c:dLbls>
        <c:gapWidth val="150"/>
        <c:axId val="33286969"/>
        <c:axId val="54712397"/>
      </c:barChart>
      <c:catAx>
        <c:axId val="33286969"/>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Producto</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4712397"/>
        <c:crosses val="autoZero"/>
        <c:auto val="1"/>
        <c:lblAlgn val="ctr"/>
        <c:lblOffset val="100"/>
        <c:noMultiLvlLbl val="0"/>
      </c:catAx>
      <c:valAx>
        <c:axId val="54712397"/>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USD/año</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328696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42</xdr:row>
      <xdr:rowOff>0</xdr:rowOff>
    </xdr:from>
    <xdr:to>
      <xdr:col>6</xdr:col>
      <xdr:colOff>744480</xdr:colOff>
      <xdr:row>67</xdr:row>
      <xdr:rowOff>82550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82550</xdr:colOff>
      <xdr:row>2</xdr:row>
      <xdr:rowOff>6350</xdr:rowOff>
    </xdr:from>
    <xdr:to>
      <xdr:col>1</xdr:col>
      <xdr:colOff>6305550</xdr:colOff>
      <xdr:row>18</xdr:row>
      <xdr:rowOff>431800</xdr:rowOff>
    </xdr:to>
    <xdr:pic>
      <xdr:nvPicPr>
        <xdr:cNvPr id="2" name="Image 1" descr="Picture">
          <a:extLst>
            <a:ext uri="{FF2B5EF4-FFF2-40B4-BE49-F238E27FC236}">
              <a16:creationId xmlns:a16="http://schemas.microsoft.com/office/drawing/2014/main" id="{6D72A349-9602-4636-8063-B8E8C20D53D8}"/>
            </a:ext>
          </a:extLst>
        </xdr:cNvPr>
        <xdr:cNvPicPr/>
      </xdr:nvPicPr>
      <xdr:blipFill>
        <a:blip xmlns:r="http://schemas.openxmlformats.org/officeDocument/2006/relationships" r:embed="rId1"/>
        <a:stretch/>
      </xdr:blipFill>
      <xdr:spPr>
        <a:xfrm>
          <a:off x="82550" y="368300"/>
          <a:ext cx="6965950" cy="3371850"/>
        </a:xfrm>
        <a:prstGeom prst="rect">
          <a:avLst/>
        </a:prstGeom>
        <a:ln w="0">
          <a:noFill/>
        </a:ln>
      </xdr:spPr>
    </xdr:pic>
    <xdr:clientData/>
  </xdr:twoCellAnchor>
  <xdr:twoCellAnchor editAs="oneCell">
    <xdr:from>
      <xdr:col>2</xdr:col>
      <xdr:colOff>0</xdr:colOff>
      <xdr:row>2</xdr:row>
      <xdr:rowOff>0</xdr:rowOff>
    </xdr:from>
    <xdr:to>
      <xdr:col>5</xdr:col>
      <xdr:colOff>252700</xdr:colOff>
      <xdr:row>18</xdr:row>
      <xdr:rowOff>1117600</xdr:rowOff>
    </xdr:to>
    <xdr:pic>
      <xdr:nvPicPr>
        <xdr:cNvPr id="5" name="Image 2" descr="Picture">
          <a:extLst>
            <a:ext uri="{FF2B5EF4-FFF2-40B4-BE49-F238E27FC236}">
              <a16:creationId xmlns:a16="http://schemas.microsoft.com/office/drawing/2014/main" id="{5460BC39-6847-4228-BF93-3F9B7DA77402}"/>
            </a:ext>
          </a:extLst>
        </xdr:cNvPr>
        <xdr:cNvPicPr/>
      </xdr:nvPicPr>
      <xdr:blipFill>
        <a:blip xmlns:r="http://schemas.openxmlformats.org/officeDocument/2006/relationships" r:embed="rId2"/>
        <a:stretch/>
      </xdr:blipFill>
      <xdr:spPr>
        <a:xfrm>
          <a:off x="7188200" y="361950"/>
          <a:ext cx="7415500" cy="40640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9</xdr:col>
      <xdr:colOff>216224</xdr:colOff>
      <xdr:row>33</xdr:row>
      <xdr:rowOff>89122</xdr:rowOff>
    </xdr:to>
    <xdr:pic>
      <xdr:nvPicPr>
        <xdr:cNvPr id="2" name="Imagen 1">
          <a:extLst>
            <a:ext uri="{FF2B5EF4-FFF2-40B4-BE49-F238E27FC236}">
              <a16:creationId xmlns:a16="http://schemas.microsoft.com/office/drawing/2014/main" id="{15E76151-FB4B-4305-805B-5D1DCE92B80B}"/>
            </a:ext>
          </a:extLst>
        </xdr:cNvPr>
        <xdr:cNvPicPr>
          <a:picLocks noChangeAspect="1"/>
        </xdr:cNvPicPr>
      </xdr:nvPicPr>
      <xdr:blipFill>
        <a:blip xmlns:r="http://schemas.openxmlformats.org/officeDocument/2006/relationships" r:embed="rId1"/>
        <a:stretch>
          <a:fillRect/>
        </a:stretch>
      </xdr:blipFill>
      <xdr:spPr>
        <a:xfrm>
          <a:off x="7118350" y="1841500"/>
          <a:ext cx="6312224" cy="4324572"/>
        </a:xfrm>
        <a:prstGeom prst="rect">
          <a:avLst/>
        </a:prstGeom>
      </xdr:spPr>
    </xdr:pic>
    <xdr:clientData/>
  </xdr:twoCellAnchor>
  <xdr:twoCellAnchor editAs="oneCell">
    <xdr:from>
      <xdr:col>1</xdr:col>
      <xdr:colOff>0</xdr:colOff>
      <xdr:row>105</xdr:row>
      <xdr:rowOff>0</xdr:rowOff>
    </xdr:from>
    <xdr:to>
      <xdr:col>10</xdr:col>
      <xdr:colOff>260350</xdr:colOff>
      <xdr:row>129</xdr:row>
      <xdr:rowOff>158985</xdr:rowOff>
    </xdr:to>
    <xdr:pic>
      <xdr:nvPicPr>
        <xdr:cNvPr id="3" name="Imagen 2">
          <a:extLst>
            <a:ext uri="{FF2B5EF4-FFF2-40B4-BE49-F238E27FC236}">
              <a16:creationId xmlns:a16="http://schemas.microsoft.com/office/drawing/2014/main" id="{6A6C1C2B-B981-3188-518F-69A519913CE3}"/>
            </a:ext>
          </a:extLst>
        </xdr:cNvPr>
        <xdr:cNvPicPr>
          <a:picLocks noChangeAspect="1"/>
        </xdr:cNvPicPr>
      </xdr:nvPicPr>
      <xdr:blipFill>
        <a:blip xmlns:r="http://schemas.openxmlformats.org/officeDocument/2006/relationships" r:embed="rId2"/>
        <a:stretch>
          <a:fillRect/>
        </a:stretch>
      </xdr:blipFill>
      <xdr:spPr>
        <a:xfrm>
          <a:off x="7118350" y="19488150"/>
          <a:ext cx="7118350" cy="4578585"/>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048576"/>
  <sheetViews>
    <sheetView tabSelected="1" topLeftCell="AO1" zoomScale="101" zoomScaleNormal="101" workbookViewId="0">
      <selection activeCell="AQ3" sqref="AQ3"/>
    </sheetView>
  </sheetViews>
  <sheetFormatPr baseColWidth="10" defaultColWidth="8.7265625" defaultRowHeight="14.5" x14ac:dyDescent="0.35"/>
  <cols>
    <col min="1" max="1" width="12.453125" bestFit="1" customWidth="1"/>
    <col min="2" max="2" width="12.453125" style="1" customWidth="1"/>
    <col min="3" max="3" width="12.453125" customWidth="1"/>
    <col min="4" max="4" width="37.90625" customWidth="1"/>
    <col min="5" max="5" width="20.7265625" customWidth="1"/>
    <col min="6" max="6" width="13.1796875" customWidth="1"/>
    <col min="7" max="7" width="48.90625" customWidth="1"/>
    <col min="8" max="8" width="12" customWidth="1"/>
    <col min="9" max="9" width="22.453125" customWidth="1"/>
    <col min="10" max="10" width="14.54296875" customWidth="1"/>
    <col min="11" max="11" width="4.90625" customWidth="1"/>
    <col min="12" max="12" width="24" bestFit="1" customWidth="1"/>
    <col min="13" max="13" width="20.26953125" customWidth="1"/>
    <col min="14" max="14" width="15.26953125" bestFit="1" customWidth="1"/>
    <col min="15" max="15" width="16.08984375" customWidth="1"/>
    <col min="16" max="16" width="26.36328125" customWidth="1"/>
    <col min="17" max="17" width="17" customWidth="1"/>
    <col min="18" max="18" width="11.7265625" customWidth="1"/>
    <col min="19" max="19" width="18.1796875" customWidth="1"/>
    <col min="20" max="20" width="31.36328125" customWidth="1"/>
    <col min="21" max="21" width="55.6328125" customWidth="1"/>
    <col min="22" max="22" width="31.453125" customWidth="1"/>
    <col min="23" max="23" width="72.08984375" customWidth="1"/>
    <col min="24" max="24" width="39.54296875" customWidth="1"/>
    <col min="25" max="25" width="28" customWidth="1"/>
    <col min="26" max="26" width="65" customWidth="1"/>
    <col min="27" max="27" width="31.81640625" customWidth="1"/>
    <col min="28" max="28" width="68.26953125" customWidth="1"/>
    <col min="29" max="29" width="49.08984375" style="1" customWidth="1"/>
    <col min="30" max="30" width="36.81640625" customWidth="1"/>
    <col min="31" max="31" width="23.26953125" customWidth="1"/>
    <col min="32" max="32" width="21.1796875" customWidth="1"/>
    <col min="33" max="33" width="27.26953125" bestFit="1" customWidth="1"/>
    <col min="34" max="34" width="31.36328125" customWidth="1"/>
    <col min="35" max="35" width="42.1796875" customWidth="1"/>
    <col min="36" max="36" width="20.08984375" customWidth="1"/>
    <col min="37" max="37" width="19.08984375" customWidth="1"/>
    <col min="38" max="38" width="29.26953125" customWidth="1"/>
    <col min="39" max="39" width="36.453125" customWidth="1"/>
    <col min="40" max="40" width="12.36328125" customWidth="1"/>
    <col min="41" max="41" width="23" customWidth="1"/>
    <col min="42" max="42" width="16.1796875" customWidth="1"/>
    <col min="43" max="43" width="28.81640625" customWidth="1"/>
    <col min="44" max="44" width="12.453125" customWidth="1"/>
  </cols>
  <sheetData>
    <row r="1" spans="1:43" ht="14.25" customHeight="1" x14ac:dyDescent="0.35">
      <c r="A1" s="2" t="s">
        <v>466</v>
      </c>
      <c r="B1" s="2" t="s">
        <v>475</v>
      </c>
      <c r="C1" s="2" t="s">
        <v>474</v>
      </c>
      <c r="D1" s="2" t="s">
        <v>0</v>
      </c>
      <c r="E1" s="2" t="s">
        <v>1</v>
      </c>
      <c r="F1" s="2" t="s">
        <v>2</v>
      </c>
      <c r="G1" s="2" t="s">
        <v>3</v>
      </c>
      <c r="H1" s="2" t="s">
        <v>4</v>
      </c>
      <c r="I1" s="2" t="s">
        <v>459</v>
      </c>
      <c r="J1" s="2" t="s">
        <v>5</v>
      </c>
      <c r="K1" s="2" t="s">
        <v>6</v>
      </c>
      <c r="L1" s="2" t="s">
        <v>461</v>
      </c>
      <c r="M1" s="2" t="s">
        <v>7</v>
      </c>
      <c r="N1" s="2" t="s">
        <v>456</v>
      </c>
      <c r="O1" s="2" t="s">
        <v>8</v>
      </c>
      <c r="P1" s="2" t="s">
        <v>9</v>
      </c>
      <c r="Q1" s="2" t="s">
        <v>10</v>
      </c>
      <c r="R1" s="2" t="s">
        <v>11</v>
      </c>
      <c r="S1" s="2" t="s">
        <v>12</v>
      </c>
      <c r="T1" s="2" t="s">
        <v>13</v>
      </c>
      <c r="U1" s="2" t="s">
        <v>14</v>
      </c>
      <c r="V1" s="2" t="s">
        <v>15</v>
      </c>
      <c r="W1" s="2" t="s">
        <v>16</v>
      </c>
      <c r="X1" s="3" t="s">
        <v>17</v>
      </c>
      <c r="Y1" s="3" t="s">
        <v>18</v>
      </c>
      <c r="Z1" s="3" t="s">
        <v>19</v>
      </c>
      <c r="AA1" s="3" t="s">
        <v>20</v>
      </c>
      <c r="AB1" s="3" t="s">
        <v>21</v>
      </c>
      <c r="AC1" s="3" t="s">
        <v>22</v>
      </c>
      <c r="AD1" s="3" t="s">
        <v>23</v>
      </c>
      <c r="AE1" s="3" t="s">
        <v>24</v>
      </c>
      <c r="AF1" s="3" t="s">
        <v>25</v>
      </c>
      <c r="AG1" s="3" t="s">
        <v>465</v>
      </c>
      <c r="AH1" s="3" t="s">
        <v>26</v>
      </c>
      <c r="AI1" s="3" t="s">
        <v>27</v>
      </c>
      <c r="AJ1" s="3" t="s">
        <v>28</v>
      </c>
      <c r="AK1" s="3" t="s">
        <v>29</v>
      </c>
      <c r="AL1" s="3" t="s">
        <v>30</v>
      </c>
      <c r="AM1" s="3" t="s">
        <v>31</v>
      </c>
      <c r="AN1" s="3" t="s">
        <v>32</v>
      </c>
      <c r="AO1" s="3" t="s">
        <v>33</v>
      </c>
      <c r="AP1" s="3" t="s">
        <v>34</v>
      </c>
      <c r="AQ1" s="3" t="s">
        <v>35</v>
      </c>
    </row>
    <row r="2" spans="1:43" ht="14.25" customHeight="1" x14ac:dyDescent="0.35">
      <c r="A2" t="s">
        <v>467</v>
      </c>
      <c r="B2" s="1" t="s">
        <v>476</v>
      </c>
      <c r="C2" s="1">
        <f>+J2</f>
        <v>1</v>
      </c>
      <c r="D2" s="4" t="s">
        <v>36</v>
      </c>
      <c r="E2" s="5" t="s">
        <v>37</v>
      </c>
      <c r="F2" s="5" t="s">
        <v>38</v>
      </c>
      <c r="G2" s="4" t="s">
        <v>39</v>
      </c>
      <c r="H2" s="4" t="s">
        <v>40</v>
      </c>
      <c r="I2" s="6" t="s">
        <v>41</v>
      </c>
      <c r="J2" s="5">
        <v>1</v>
      </c>
      <c r="K2" s="5" t="s">
        <v>42</v>
      </c>
      <c r="L2" s="5" t="s">
        <v>42</v>
      </c>
      <c r="M2" s="5">
        <v>160</v>
      </c>
      <c r="N2" s="5">
        <v>7.8</v>
      </c>
      <c r="O2" s="5">
        <f>+N2*S2</f>
        <v>1248</v>
      </c>
      <c r="P2" s="7">
        <f>$AO$3*O2/($O$2+$O$3)</f>
        <v>5871.9975570000006</v>
      </c>
      <c r="Q2" s="5">
        <v>1.04E-2</v>
      </c>
      <c r="R2" s="5">
        <f t="shared" ref="R2:R34" si="0">+N2/Q2</f>
        <v>750</v>
      </c>
      <c r="S2" s="5">
        <v>160</v>
      </c>
      <c r="T2" s="7">
        <f>$AO$3*S2/($S$2+$S$3)</f>
        <v>5871.9975570000006</v>
      </c>
      <c r="U2" s="8">
        <f t="shared" ref="U2:U34" si="1">+Q2*S2</f>
        <v>1.6639999999999999</v>
      </c>
      <c r="V2" s="5">
        <v>1.62</v>
      </c>
      <c r="W2" s="5">
        <v>2.71</v>
      </c>
      <c r="X2" s="9">
        <v>14.21</v>
      </c>
      <c r="Y2" s="10">
        <f t="shared" ref="Y2:Y36" si="2">+V2/X2</f>
        <v>0.11400422237860662</v>
      </c>
      <c r="Z2" s="10">
        <f t="shared" ref="Z2:Z36" si="3">+U2/W2</f>
        <v>0.61402214022140222</v>
      </c>
      <c r="AA2" s="9">
        <v>34.103999999999999</v>
      </c>
      <c r="AB2" s="11">
        <f t="shared" ref="AB2:AB26" si="4">+W2/AA2</f>
        <v>7.9462819610602864E-2</v>
      </c>
      <c r="AC2" s="12">
        <f>+AB2*AN3</f>
        <v>2455.8183296094298</v>
      </c>
      <c r="AD2" s="13">
        <f>(2.09*2.94*0.75+1.2*1.6*2.09)/AA2*AB2*AN3</f>
        <v>620.81350498901304</v>
      </c>
      <c r="AE2" s="12">
        <f t="shared" ref="AE2:AE26" si="5">+AC2+AD2</f>
        <v>3076.6318345984428</v>
      </c>
      <c r="AF2" s="12">
        <f>+AE2*AP3</f>
        <v>993.75208257529709</v>
      </c>
      <c r="AG2" s="14">
        <f t="shared" ref="AG2:AG26" si="6">+AE2/O2</f>
        <v>2.4652498674667007</v>
      </c>
      <c r="AH2" s="15">
        <f>+AG2*AP3</f>
        <v>0.79627570719174434</v>
      </c>
      <c r="AI2" s="16">
        <f t="shared" ref="AI2:AI26" si="7">+O2/$O$1048576</f>
        <v>0.29569900116289316</v>
      </c>
      <c r="AJ2" s="10"/>
      <c r="AK2" s="10"/>
    </row>
    <row r="3" spans="1:43" ht="14.25" customHeight="1" x14ac:dyDescent="0.35">
      <c r="A3" s="184" t="s">
        <v>467</v>
      </c>
      <c r="B3" s="185" t="s">
        <v>476</v>
      </c>
      <c r="C3" s="185">
        <f t="shared" ref="C3:C27" si="8">+J3</f>
        <v>5</v>
      </c>
      <c r="D3" s="17" t="s">
        <v>43</v>
      </c>
      <c r="E3" s="18" t="s">
        <v>37</v>
      </c>
      <c r="F3" s="18" t="s">
        <v>38</v>
      </c>
      <c r="G3" s="17" t="s">
        <v>39</v>
      </c>
      <c r="H3" s="17" t="s">
        <v>40</v>
      </c>
      <c r="I3" s="19" t="s">
        <v>44</v>
      </c>
      <c r="J3" s="18">
        <v>5</v>
      </c>
      <c r="K3" s="18" t="s">
        <v>42</v>
      </c>
      <c r="L3" s="18" t="s">
        <v>42</v>
      </c>
      <c r="M3" s="18">
        <v>112</v>
      </c>
      <c r="N3" s="18">
        <v>7.8</v>
      </c>
      <c r="O3" s="18">
        <f>+N3*S3</f>
        <v>873.6</v>
      </c>
      <c r="P3" s="20">
        <f>$AO$3*O3/($O$2+$O$3)</f>
        <v>4110.3982899000011</v>
      </c>
      <c r="Q3" s="18">
        <f>20*20*26/1000000</f>
        <v>1.04E-2</v>
      </c>
      <c r="R3" s="18">
        <f t="shared" si="0"/>
        <v>750</v>
      </c>
      <c r="S3" s="18">
        <v>112</v>
      </c>
      <c r="T3" s="20">
        <f>$AO$3*S3/($S$2+$S$3)</f>
        <v>4110.3982899000002</v>
      </c>
      <c r="U3" s="21">
        <f t="shared" si="1"/>
        <v>1.1648000000000001</v>
      </c>
      <c r="V3" s="18">
        <v>1.05</v>
      </c>
      <c r="W3" s="18">
        <v>1.85</v>
      </c>
      <c r="X3" s="22">
        <v>14.21</v>
      </c>
      <c r="Y3" s="23">
        <f t="shared" si="2"/>
        <v>7.389162561576354E-2</v>
      </c>
      <c r="Z3" s="23">
        <f t="shared" si="3"/>
        <v>0.62962162162162161</v>
      </c>
      <c r="AA3" s="22">
        <f>14.21*2.4</f>
        <v>34.103999999999999</v>
      </c>
      <c r="AB3" s="24">
        <f t="shared" si="4"/>
        <v>5.4245836265540706E-2</v>
      </c>
      <c r="AC3" s="25">
        <f>+AN3*AB3</f>
        <v>1676.4811475193528</v>
      </c>
      <c r="AD3" s="26">
        <f>(2.09*2.94*0.75+1.2*1.6*2.09)/AA3*AB3*AN3</f>
        <v>423.80257720652185</v>
      </c>
      <c r="AE3" s="25">
        <f t="shared" si="5"/>
        <v>2100.2837247258749</v>
      </c>
      <c r="AF3" s="25">
        <f>+AE3*AP3</f>
        <v>678.39164308645763</v>
      </c>
      <c r="AG3" s="27">
        <f t="shared" si="6"/>
        <v>2.40417093031808</v>
      </c>
      <c r="AH3" s="28">
        <f>+AG3*AP3</f>
        <v>0.77654721049273989</v>
      </c>
      <c r="AI3" s="29">
        <f t="shared" si="7"/>
        <v>0.2069893008140252</v>
      </c>
      <c r="AJ3" s="30">
        <v>0.51</v>
      </c>
      <c r="AK3" s="30">
        <v>0.54</v>
      </c>
      <c r="AL3" s="31">
        <f>718150542*AK3/1448</f>
        <v>267818.5722928177</v>
      </c>
      <c r="AM3" s="31">
        <f>+AL3/52</f>
        <v>5150.3571594772638</v>
      </c>
      <c r="AN3" s="32">
        <f>74813*AJ3*0.81</f>
        <v>30905.2503</v>
      </c>
      <c r="AO3" s="33">
        <f>+AN3*AP3</f>
        <v>9982.3958469000008</v>
      </c>
      <c r="AP3" s="34">
        <v>0.32300000000000001</v>
      </c>
      <c r="AQ3" s="35">
        <f>+AO3/AL3</f>
        <v>3.7272978350380473E-2</v>
      </c>
    </row>
    <row r="4" spans="1:43" ht="14.25" customHeight="1" x14ac:dyDescent="0.35">
      <c r="A4" t="s">
        <v>471</v>
      </c>
      <c r="B4" s="1" t="s">
        <v>476</v>
      </c>
      <c r="C4" s="1">
        <f t="shared" si="8"/>
        <v>2</v>
      </c>
      <c r="D4" t="s">
        <v>45</v>
      </c>
      <c r="E4" s="5" t="s">
        <v>37</v>
      </c>
      <c r="F4" s="5" t="s">
        <v>38</v>
      </c>
      <c r="G4" s="36" t="s">
        <v>39</v>
      </c>
      <c r="H4" s="36" t="s">
        <v>40</v>
      </c>
      <c r="I4" s="6" t="s">
        <v>46</v>
      </c>
      <c r="J4" s="37">
        <v>2</v>
      </c>
      <c r="K4" s="37">
        <v>1</v>
      </c>
      <c r="L4" s="37">
        <v>1</v>
      </c>
      <c r="M4" s="37">
        <v>10</v>
      </c>
      <c r="N4" s="1">
        <f>720*6/1000</f>
        <v>4.32</v>
      </c>
      <c r="O4" s="38">
        <f t="shared" ref="O4:O12" si="9">+M4*N4</f>
        <v>43.2</v>
      </c>
      <c r="P4" s="39">
        <f t="shared" ref="P4:P18" si="10">+$AO$18*O4/SUM($O$4:$O$18)</f>
        <v>358.22458872413625</v>
      </c>
      <c r="Q4" s="40">
        <f>50.5*17*17/1000000</f>
        <v>1.45945E-2</v>
      </c>
      <c r="R4" s="41">
        <f t="shared" si="0"/>
        <v>296.00191853095345</v>
      </c>
      <c r="S4" s="1">
        <f t="shared" ref="S4:S18" si="11">+M4</f>
        <v>10</v>
      </c>
      <c r="T4" s="39">
        <f t="shared" ref="T4:T18" si="12">+$AO$18*S4/SUM($S$4:$S$18)</f>
        <v>444.84829977272733</v>
      </c>
      <c r="U4" s="42">
        <f t="shared" si="1"/>
        <v>0.14594499999999999</v>
      </c>
      <c r="V4" s="1">
        <f>105*17/10000</f>
        <v>0.17849999999999999</v>
      </c>
      <c r="W4" s="1">
        <f>(66*52.5+126*52.5)*17/1000000</f>
        <v>0.17136000000000001</v>
      </c>
      <c r="X4" s="9">
        <v>14.21</v>
      </c>
      <c r="Y4" s="10">
        <f t="shared" si="2"/>
        <v>1.2561576354679801E-2</v>
      </c>
      <c r="Z4" s="10">
        <f t="shared" si="3"/>
        <v>0.8516865079365078</v>
      </c>
      <c r="AA4" s="9">
        <v>34.103999999999999</v>
      </c>
      <c r="AB4" s="11">
        <f t="shared" si="4"/>
        <v>5.0246305418719219E-3</v>
      </c>
      <c r="AC4" s="12">
        <f t="shared" ref="AC4:AC18" si="13">+$AN$18*AB4</f>
        <v>60.897044926108393</v>
      </c>
      <c r="AD4" s="13">
        <f t="shared" ref="AD4:AD18" si="14">(2.09*2.94*0.75+1.2*1.6*2.09)/AA4*AB4*$AN$18</f>
        <v>15.394342263934201</v>
      </c>
      <c r="AE4" s="12">
        <f t="shared" si="5"/>
        <v>76.291387190042599</v>
      </c>
      <c r="AF4" s="12">
        <f t="shared" ref="AF4:AF18" si="15">+$AP$18*AE4</f>
        <v>24.642118062383759</v>
      </c>
      <c r="AG4" s="14">
        <f t="shared" si="6"/>
        <v>1.7660043331028379</v>
      </c>
      <c r="AH4" s="15">
        <f t="shared" ref="AH4:AH18" si="16">+AG4*$AP$18</f>
        <v>0.57041939959221666</v>
      </c>
      <c r="AI4" s="16">
        <f t="shared" si="7"/>
        <v>1.0235734655638609E-2</v>
      </c>
      <c r="AJ4" s="10"/>
      <c r="AK4" s="10"/>
    </row>
    <row r="5" spans="1:43" ht="14.25" customHeight="1" x14ac:dyDescent="0.35">
      <c r="A5" t="s">
        <v>471</v>
      </c>
      <c r="B5" s="1" t="s">
        <v>476</v>
      </c>
      <c r="C5" s="1">
        <f t="shared" si="8"/>
        <v>2</v>
      </c>
      <c r="D5" t="s">
        <v>47</v>
      </c>
      <c r="E5" s="5" t="s">
        <v>48</v>
      </c>
      <c r="F5" s="5" t="s">
        <v>49</v>
      </c>
      <c r="G5" s="4" t="s">
        <v>50</v>
      </c>
      <c r="H5" s="4" t="s">
        <v>51</v>
      </c>
      <c r="I5" s="6" t="s">
        <v>46</v>
      </c>
      <c r="J5" s="37">
        <v>2</v>
      </c>
      <c r="K5" s="37">
        <v>1</v>
      </c>
      <c r="L5" s="37">
        <v>6</v>
      </c>
      <c r="M5" s="37">
        <v>4</v>
      </c>
      <c r="N5" s="1">
        <f>680*6/1000</f>
        <v>4.08</v>
      </c>
      <c r="O5" s="43">
        <f t="shared" si="9"/>
        <v>16.32</v>
      </c>
      <c r="P5" s="39">
        <f t="shared" si="10"/>
        <v>135.32928907356259</v>
      </c>
      <c r="Q5" s="1">
        <f>38.5*23*16/1000000</f>
        <v>1.4168E-2</v>
      </c>
      <c r="R5" s="7">
        <f t="shared" si="0"/>
        <v>287.97289666854886</v>
      </c>
      <c r="S5" s="1">
        <f t="shared" si="11"/>
        <v>4</v>
      </c>
      <c r="T5" s="39">
        <f t="shared" si="12"/>
        <v>177.93931990909093</v>
      </c>
      <c r="U5" s="44">
        <f t="shared" si="1"/>
        <v>5.6672E-2</v>
      </c>
      <c r="V5" s="1">
        <f>100*23/10000</f>
        <v>0.23</v>
      </c>
      <c r="W5" s="1">
        <f>66*50*23/1000000</f>
        <v>7.5899999999999995E-2</v>
      </c>
      <c r="X5" s="45">
        <v>14.21</v>
      </c>
      <c r="Y5" s="46">
        <f t="shared" si="2"/>
        <v>1.6185784658691062E-2</v>
      </c>
      <c r="Z5" s="47">
        <f t="shared" si="3"/>
        <v>0.7466666666666667</v>
      </c>
      <c r="AA5" s="9">
        <v>34.103999999999999</v>
      </c>
      <c r="AB5" s="11">
        <f t="shared" si="4"/>
        <v>2.225545390570021E-3</v>
      </c>
      <c r="AC5" s="12">
        <f t="shared" si="13"/>
        <v>26.972955823363829</v>
      </c>
      <c r="AD5" s="13">
        <f t="shared" si="14"/>
        <v>6.8185724663434035</v>
      </c>
      <c r="AE5" s="12">
        <f t="shared" si="5"/>
        <v>33.79152828970723</v>
      </c>
      <c r="AF5" s="12">
        <f t="shared" si="15"/>
        <v>10.914663637575435</v>
      </c>
      <c r="AG5" s="14">
        <f t="shared" si="6"/>
        <v>2.0705593314771589</v>
      </c>
      <c r="AH5" s="15">
        <f t="shared" si="16"/>
        <v>0.66879066406712229</v>
      </c>
      <c r="AI5" s="16">
        <f t="shared" si="7"/>
        <v>3.8668330921301413E-3</v>
      </c>
      <c r="AJ5" s="10"/>
      <c r="AK5" s="10"/>
    </row>
    <row r="6" spans="1:43" ht="14.25" customHeight="1" x14ac:dyDescent="0.35">
      <c r="A6" t="s">
        <v>472</v>
      </c>
      <c r="B6" s="1" t="s">
        <v>476</v>
      </c>
      <c r="C6" s="1">
        <f t="shared" si="8"/>
        <v>2</v>
      </c>
      <c r="D6" t="s">
        <v>52</v>
      </c>
      <c r="E6" s="5" t="s">
        <v>48</v>
      </c>
      <c r="F6" s="5" t="s">
        <v>49</v>
      </c>
      <c r="G6" s="4" t="s">
        <v>50</v>
      </c>
      <c r="H6" s="4" t="s">
        <v>51</v>
      </c>
      <c r="I6" s="6" t="s">
        <v>46</v>
      </c>
      <c r="J6" s="37">
        <v>2</v>
      </c>
      <c r="K6" s="37">
        <v>1</v>
      </c>
      <c r="L6" s="37">
        <v>5</v>
      </c>
      <c r="M6" s="37">
        <v>4</v>
      </c>
      <c r="N6" s="1">
        <f>600*6/1000</f>
        <v>3.6</v>
      </c>
      <c r="O6" s="43">
        <f t="shared" si="9"/>
        <v>14.4</v>
      </c>
      <c r="P6" s="39">
        <f t="shared" si="10"/>
        <v>119.40819624137876</v>
      </c>
      <c r="Q6" s="1">
        <f>38.5*23*16/1000000</f>
        <v>1.4168E-2</v>
      </c>
      <c r="R6" s="7">
        <f t="shared" si="0"/>
        <v>254.09373235460191</v>
      </c>
      <c r="S6" s="1">
        <f t="shared" si="11"/>
        <v>4</v>
      </c>
      <c r="T6" s="39">
        <f t="shared" si="12"/>
        <v>177.93931990909093</v>
      </c>
      <c r="U6" s="44">
        <f t="shared" si="1"/>
        <v>5.6672E-2</v>
      </c>
      <c r="V6" s="1">
        <f>100*23/10000</f>
        <v>0.23</v>
      </c>
      <c r="W6" s="1">
        <f>66*100*23/1000000/2</f>
        <v>7.5899999999999995E-2</v>
      </c>
      <c r="X6" s="45">
        <v>14.21</v>
      </c>
      <c r="Y6" s="46">
        <f t="shared" si="2"/>
        <v>1.6185784658691062E-2</v>
      </c>
      <c r="Z6" s="47">
        <f t="shared" si="3"/>
        <v>0.7466666666666667</v>
      </c>
      <c r="AA6" s="9">
        <v>34.103999999999999</v>
      </c>
      <c r="AB6" s="11">
        <f t="shared" si="4"/>
        <v>2.225545390570021E-3</v>
      </c>
      <c r="AC6" s="12">
        <f t="shared" si="13"/>
        <v>26.972955823363829</v>
      </c>
      <c r="AD6" s="13">
        <f t="shared" si="14"/>
        <v>6.8185724663434035</v>
      </c>
      <c r="AE6" s="12">
        <f t="shared" si="5"/>
        <v>33.79152828970723</v>
      </c>
      <c r="AF6" s="12">
        <f t="shared" si="15"/>
        <v>10.914663637575435</v>
      </c>
      <c r="AG6" s="14">
        <f t="shared" si="6"/>
        <v>2.3466339090074464</v>
      </c>
      <c r="AH6" s="15">
        <f t="shared" si="16"/>
        <v>0.75796275260940515</v>
      </c>
      <c r="AI6" s="16">
        <f t="shared" si="7"/>
        <v>3.4119115518795361E-3</v>
      </c>
      <c r="AJ6" s="10"/>
      <c r="AK6" s="10"/>
    </row>
    <row r="7" spans="1:43" ht="14.25" customHeight="1" x14ac:dyDescent="0.35">
      <c r="A7" t="s">
        <v>472</v>
      </c>
      <c r="B7" s="1" t="s">
        <v>476</v>
      </c>
      <c r="C7" s="1">
        <f t="shared" si="8"/>
        <v>2</v>
      </c>
      <c r="D7" t="s">
        <v>53</v>
      </c>
      <c r="E7" s="5" t="s">
        <v>48</v>
      </c>
      <c r="F7" s="5" t="s">
        <v>49</v>
      </c>
      <c r="G7" s="4" t="s">
        <v>50</v>
      </c>
      <c r="H7" s="48" t="s">
        <v>51</v>
      </c>
      <c r="I7" s="6" t="s">
        <v>46</v>
      </c>
      <c r="J7" s="37">
        <v>2</v>
      </c>
      <c r="K7" s="37">
        <v>1</v>
      </c>
      <c r="L7" s="37">
        <v>5</v>
      </c>
      <c r="M7" s="37">
        <v>4</v>
      </c>
      <c r="N7" s="1">
        <f>672*6/1000</f>
        <v>4.032</v>
      </c>
      <c r="O7" s="43">
        <f t="shared" si="9"/>
        <v>16.128</v>
      </c>
      <c r="P7" s="39">
        <f t="shared" si="10"/>
        <v>133.73717979034421</v>
      </c>
      <c r="Q7" s="1">
        <f>38.5*23*16/1000000</f>
        <v>1.4168E-2</v>
      </c>
      <c r="R7" s="7">
        <f t="shared" si="0"/>
        <v>284.58498023715413</v>
      </c>
      <c r="S7" s="1">
        <f t="shared" si="11"/>
        <v>4</v>
      </c>
      <c r="T7" s="39">
        <f t="shared" si="12"/>
        <v>177.93931990909093</v>
      </c>
      <c r="U7" s="44">
        <f t="shared" si="1"/>
        <v>5.6672E-2</v>
      </c>
      <c r="V7" s="1">
        <f>100*23/10000</f>
        <v>0.23</v>
      </c>
      <c r="W7" s="1">
        <f>66*100*23/1000000/2</f>
        <v>7.5899999999999995E-2</v>
      </c>
      <c r="X7" s="45">
        <v>14.21</v>
      </c>
      <c r="Y7" s="46">
        <f t="shared" si="2"/>
        <v>1.6185784658691062E-2</v>
      </c>
      <c r="Z7" s="47">
        <f t="shared" si="3"/>
        <v>0.7466666666666667</v>
      </c>
      <c r="AA7" s="9">
        <v>34.103999999999999</v>
      </c>
      <c r="AB7" s="11">
        <f t="shared" si="4"/>
        <v>2.225545390570021E-3</v>
      </c>
      <c r="AC7" s="12">
        <f t="shared" si="13"/>
        <v>26.972955823363829</v>
      </c>
      <c r="AD7" s="13">
        <f t="shared" si="14"/>
        <v>6.8185724663434035</v>
      </c>
      <c r="AE7" s="12">
        <f t="shared" si="5"/>
        <v>33.79152828970723</v>
      </c>
      <c r="AF7" s="12">
        <f t="shared" si="15"/>
        <v>10.914663637575435</v>
      </c>
      <c r="AG7" s="14">
        <f t="shared" si="6"/>
        <v>2.0952088473280774</v>
      </c>
      <c r="AH7" s="15">
        <f t="shared" si="16"/>
        <v>0.67675245768696901</v>
      </c>
      <c r="AI7" s="16">
        <f t="shared" si="7"/>
        <v>3.8213409381050805E-3</v>
      </c>
    </row>
    <row r="8" spans="1:43" ht="14.25" customHeight="1" x14ac:dyDescent="0.35">
      <c r="A8" t="s">
        <v>471</v>
      </c>
      <c r="B8" s="1" t="s">
        <v>476</v>
      </c>
      <c r="C8" s="1">
        <f t="shared" si="8"/>
        <v>2</v>
      </c>
      <c r="D8" t="s">
        <v>54</v>
      </c>
      <c r="E8" s="5" t="s">
        <v>55</v>
      </c>
      <c r="F8" s="5" t="s">
        <v>56</v>
      </c>
      <c r="G8" t="s">
        <v>57</v>
      </c>
      <c r="H8" s="49" t="s">
        <v>58</v>
      </c>
      <c r="I8" s="50" t="s">
        <v>46</v>
      </c>
      <c r="J8" s="37">
        <v>2</v>
      </c>
      <c r="K8" s="37">
        <v>1</v>
      </c>
      <c r="L8" s="37">
        <v>3</v>
      </c>
      <c r="M8" s="37">
        <v>10</v>
      </c>
      <c r="N8" s="1">
        <f>592*6/1000</f>
        <v>3.552</v>
      </c>
      <c r="O8" s="43">
        <f t="shared" si="9"/>
        <v>35.520000000000003</v>
      </c>
      <c r="P8" s="39">
        <f t="shared" si="10"/>
        <v>294.54021739540093</v>
      </c>
      <c r="Q8" s="1">
        <f>40.5*23*13/1000000</f>
        <v>1.21095E-2</v>
      </c>
      <c r="R8" s="7">
        <f t="shared" si="0"/>
        <v>293.32342375820633</v>
      </c>
      <c r="S8" s="1">
        <f t="shared" si="11"/>
        <v>10</v>
      </c>
      <c r="T8" s="39">
        <f t="shared" si="12"/>
        <v>444.84829977272733</v>
      </c>
      <c r="U8" s="44">
        <f t="shared" si="1"/>
        <v>0.12109500000000001</v>
      </c>
      <c r="V8" s="1">
        <f>100*23/10000</f>
        <v>0.23</v>
      </c>
      <c r="W8" s="1">
        <f>66*100*23/1000000</f>
        <v>0.15179999999999999</v>
      </c>
      <c r="X8" s="45">
        <v>14.21</v>
      </c>
      <c r="Y8" s="46">
        <f t="shared" si="2"/>
        <v>1.6185784658691062E-2</v>
      </c>
      <c r="Z8" s="47">
        <f t="shared" si="3"/>
        <v>0.79772727272727284</v>
      </c>
      <c r="AA8" s="9">
        <v>34.103999999999999</v>
      </c>
      <c r="AB8" s="11">
        <f t="shared" si="4"/>
        <v>4.451090781140042E-3</v>
      </c>
      <c r="AC8" s="12">
        <f t="shared" si="13"/>
        <v>53.945911646727659</v>
      </c>
      <c r="AD8" s="13">
        <f t="shared" si="14"/>
        <v>13.637144932686807</v>
      </c>
      <c r="AE8" s="12">
        <f t="shared" si="5"/>
        <v>67.58305657941446</v>
      </c>
      <c r="AF8" s="12">
        <f t="shared" si="15"/>
        <v>21.82932727515087</v>
      </c>
      <c r="AG8" s="14">
        <f t="shared" si="6"/>
        <v>1.9026761424384699</v>
      </c>
      <c r="AH8" s="15">
        <f t="shared" si="16"/>
        <v>0.61456439400762586</v>
      </c>
      <c r="AI8" s="16">
        <f t="shared" si="7"/>
        <v>8.4160484946361903E-3</v>
      </c>
    </row>
    <row r="9" spans="1:43" ht="14.25" customHeight="1" x14ac:dyDescent="0.35">
      <c r="A9" t="s">
        <v>472</v>
      </c>
      <c r="B9" s="1" t="s">
        <v>476</v>
      </c>
      <c r="C9" s="1">
        <f t="shared" si="8"/>
        <v>2</v>
      </c>
      <c r="D9" t="s">
        <v>59</v>
      </c>
      <c r="E9" s="5" t="s">
        <v>48</v>
      </c>
      <c r="F9" s="5" t="s">
        <v>49</v>
      </c>
      <c r="G9" s="4" t="s">
        <v>50</v>
      </c>
      <c r="H9" s="36" t="s">
        <v>51</v>
      </c>
      <c r="I9" s="6" t="s">
        <v>46</v>
      </c>
      <c r="J9" s="37">
        <v>2</v>
      </c>
      <c r="K9" s="37">
        <v>1</v>
      </c>
      <c r="L9" s="37">
        <v>6</v>
      </c>
      <c r="M9" s="37">
        <v>4</v>
      </c>
      <c r="N9" s="1">
        <f>680*4/1000</f>
        <v>2.72</v>
      </c>
      <c r="O9" s="43">
        <f t="shared" si="9"/>
        <v>10.88</v>
      </c>
      <c r="P9" s="39">
        <f t="shared" si="10"/>
        <v>90.219526049041733</v>
      </c>
      <c r="Q9" s="1">
        <f>33*22.5*12/1000000</f>
        <v>8.9099999999999995E-3</v>
      </c>
      <c r="R9" s="7">
        <f t="shared" si="0"/>
        <v>305.27497194163863</v>
      </c>
      <c r="S9" s="1">
        <f t="shared" si="11"/>
        <v>4</v>
      </c>
      <c r="T9" s="39">
        <f t="shared" si="12"/>
        <v>177.93931990909093</v>
      </c>
      <c r="U9" s="44">
        <f t="shared" si="1"/>
        <v>3.5639999999999998E-2</v>
      </c>
      <c r="V9" s="1">
        <f>50*22.5/10000</f>
        <v>0.1125</v>
      </c>
      <c r="W9" s="1">
        <f>97*50*22.5/1000000/2</f>
        <v>5.45625E-2</v>
      </c>
      <c r="X9" s="45">
        <v>14.21</v>
      </c>
      <c r="Y9" s="46">
        <f t="shared" si="2"/>
        <v>7.9169598874032372E-3</v>
      </c>
      <c r="Z9" s="47">
        <f t="shared" si="3"/>
        <v>0.65319587628865972</v>
      </c>
      <c r="AA9" s="9">
        <v>34.103999999999999</v>
      </c>
      <c r="AB9" s="11">
        <f t="shared" si="4"/>
        <v>1.5998856439127375E-3</v>
      </c>
      <c r="AC9" s="12">
        <f t="shared" si="13"/>
        <v>19.390143637843071</v>
      </c>
      <c r="AD9" s="13">
        <f t="shared" si="14"/>
        <v>4.9016911751628713</v>
      </c>
      <c r="AE9" s="12">
        <f t="shared" si="5"/>
        <v>24.291834813005941</v>
      </c>
      <c r="AF9" s="12">
        <f t="shared" si="15"/>
        <v>7.8462626446009196</v>
      </c>
      <c r="AG9" s="14">
        <f t="shared" si="6"/>
        <v>2.2327054056071636</v>
      </c>
      <c r="AH9" s="15">
        <f t="shared" si="16"/>
        <v>0.72116384601111383</v>
      </c>
      <c r="AI9" s="16">
        <f t="shared" si="7"/>
        <v>2.577888728086761E-3</v>
      </c>
    </row>
    <row r="10" spans="1:43" ht="14.25" customHeight="1" x14ac:dyDescent="0.35">
      <c r="A10" t="s">
        <v>472</v>
      </c>
      <c r="B10" s="1" t="s">
        <v>476</v>
      </c>
      <c r="C10" s="1">
        <f t="shared" si="8"/>
        <v>2</v>
      </c>
      <c r="D10" t="s">
        <v>60</v>
      </c>
      <c r="E10" s="5" t="s">
        <v>48</v>
      </c>
      <c r="F10" s="5" t="s">
        <v>49</v>
      </c>
      <c r="G10" s="4" t="s">
        <v>50</v>
      </c>
      <c r="H10" s="4" t="s">
        <v>51</v>
      </c>
      <c r="I10" s="6" t="s">
        <v>46</v>
      </c>
      <c r="J10" s="37">
        <v>2</v>
      </c>
      <c r="K10" s="37">
        <v>1</v>
      </c>
      <c r="L10" s="37">
        <v>6</v>
      </c>
      <c r="M10" s="37">
        <v>4</v>
      </c>
      <c r="N10" s="1">
        <f>600*4/1000</f>
        <v>2.4</v>
      </c>
      <c r="O10" s="43">
        <f t="shared" si="9"/>
        <v>9.6</v>
      </c>
      <c r="P10" s="39">
        <f t="shared" si="10"/>
        <v>79.605464160919169</v>
      </c>
      <c r="Q10" s="1">
        <f>33*22.5*12/1000000</f>
        <v>8.9099999999999995E-3</v>
      </c>
      <c r="R10" s="7">
        <f t="shared" si="0"/>
        <v>269.36026936026934</v>
      </c>
      <c r="S10" s="1">
        <f t="shared" si="11"/>
        <v>4</v>
      </c>
      <c r="T10" s="39">
        <f t="shared" si="12"/>
        <v>177.93931990909093</v>
      </c>
      <c r="U10" s="44">
        <f t="shared" si="1"/>
        <v>3.5639999999999998E-2</v>
      </c>
      <c r="V10" s="1">
        <f>50*22.5/10000</f>
        <v>0.1125</v>
      </c>
      <c r="W10" s="1">
        <f>97*50*22.5/1000000/2</f>
        <v>5.45625E-2</v>
      </c>
      <c r="X10" s="45">
        <v>14.21</v>
      </c>
      <c r="Y10" s="46">
        <f t="shared" si="2"/>
        <v>7.9169598874032372E-3</v>
      </c>
      <c r="Z10" s="47">
        <f t="shared" si="3"/>
        <v>0.65319587628865972</v>
      </c>
      <c r="AA10" s="9">
        <v>34.103999999999999</v>
      </c>
      <c r="AB10" s="11">
        <f t="shared" si="4"/>
        <v>1.5998856439127375E-3</v>
      </c>
      <c r="AC10" s="12">
        <f t="shared" si="13"/>
        <v>19.390143637843071</v>
      </c>
      <c r="AD10" s="13">
        <f t="shared" si="14"/>
        <v>4.9016911751628713</v>
      </c>
      <c r="AE10" s="12">
        <f t="shared" si="5"/>
        <v>24.291834813005941</v>
      </c>
      <c r="AF10" s="12">
        <f t="shared" si="15"/>
        <v>7.8462626446009196</v>
      </c>
      <c r="AG10" s="14">
        <f t="shared" si="6"/>
        <v>2.5303994596881192</v>
      </c>
      <c r="AH10" s="15">
        <f t="shared" si="16"/>
        <v>0.8173190254792625</v>
      </c>
      <c r="AI10" s="16">
        <f t="shared" si="7"/>
        <v>2.2746077012530241E-3</v>
      </c>
    </row>
    <row r="11" spans="1:43" ht="14.25" customHeight="1" x14ac:dyDescent="0.35">
      <c r="A11" t="s">
        <v>471</v>
      </c>
      <c r="B11" s="1" t="s">
        <v>476</v>
      </c>
      <c r="C11" s="1">
        <f t="shared" si="8"/>
        <v>2</v>
      </c>
      <c r="D11" t="s">
        <v>61</v>
      </c>
      <c r="E11" s="5" t="s">
        <v>37</v>
      </c>
      <c r="F11" s="5" t="s">
        <v>38</v>
      </c>
      <c r="G11" s="4" t="s">
        <v>39</v>
      </c>
      <c r="H11" s="4" t="s">
        <v>40</v>
      </c>
      <c r="I11" s="6" t="s">
        <v>46</v>
      </c>
      <c r="J11" s="37">
        <v>2</v>
      </c>
      <c r="K11" s="37">
        <v>1</v>
      </c>
      <c r="L11" s="37">
        <v>2</v>
      </c>
      <c r="M11" s="37">
        <v>11</v>
      </c>
      <c r="N11" s="1">
        <f>560*6/1000</f>
        <v>3.36</v>
      </c>
      <c r="O11" s="43">
        <f t="shared" si="9"/>
        <v>36.96</v>
      </c>
      <c r="P11" s="39">
        <f t="shared" si="10"/>
        <v>306.4810370195388</v>
      </c>
      <c r="Q11" s="1">
        <f>40.5*23*13/1000000</f>
        <v>1.21095E-2</v>
      </c>
      <c r="R11" s="7">
        <f t="shared" si="0"/>
        <v>277.46810355506005</v>
      </c>
      <c r="S11" s="1">
        <f t="shared" si="11"/>
        <v>11</v>
      </c>
      <c r="T11" s="39">
        <f t="shared" si="12"/>
        <v>489.33312975000007</v>
      </c>
      <c r="U11" s="44">
        <f t="shared" si="1"/>
        <v>0.1332045</v>
      </c>
      <c r="V11" s="1">
        <f>100*23/10000</f>
        <v>0.23</v>
      </c>
      <c r="W11" s="1">
        <f>66*100*23/1000000</f>
        <v>0.15179999999999999</v>
      </c>
      <c r="X11" s="45">
        <v>14.21</v>
      </c>
      <c r="Y11" s="46">
        <f t="shared" si="2"/>
        <v>1.6185784658691062E-2</v>
      </c>
      <c r="Z11" s="47">
        <f t="shared" si="3"/>
        <v>0.87750000000000006</v>
      </c>
      <c r="AA11" s="9">
        <v>34.103999999999999</v>
      </c>
      <c r="AB11" s="11">
        <f t="shared" si="4"/>
        <v>4.451090781140042E-3</v>
      </c>
      <c r="AC11" s="12">
        <f t="shared" si="13"/>
        <v>53.945911646727659</v>
      </c>
      <c r="AD11" s="13">
        <f t="shared" si="14"/>
        <v>13.637144932686807</v>
      </c>
      <c r="AE11" s="12">
        <f t="shared" si="5"/>
        <v>67.58305657941446</v>
      </c>
      <c r="AF11" s="12">
        <f t="shared" si="15"/>
        <v>21.82932727515087</v>
      </c>
      <c r="AG11" s="14">
        <f t="shared" si="6"/>
        <v>1.8285459031226856</v>
      </c>
      <c r="AH11" s="15">
        <f t="shared" si="16"/>
        <v>0.59062032670862752</v>
      </c>
      <c r="AI11" s="16">
        <f t="shared" si="7"/>
        <v>8.7572396498241424E-3</v>
      </c>
    </row>
    <row r="12" spans="1:43" ht="14.25" customHeight="1" x14ac:dyDescent="0.35">
      <c r="A12" t="s">
        <v>471</v>
      </c>
      <c r="B12" s="1" t="s">
        <v>476</v>
      </c>
      <c r="C12" s="1">
        <f t="shared" si="8"/>
        <v>2</v>
      </c>
      <c r="D12" t="s">
        <v>62</v>
      </c>
      <c r="E12" s="5" t="s">
        <v>55</v>
      </c>
      <c r="F12" s="5" t="s">
        <v>56</v>
      </c>
      <c r="G12" t="s">
        <v>57</v>
      </c>
      <c r="H12" s="4" t="s">
        <v>58</v>
      </c>
      <c r="I12" s="6" t="s">
        <v>46</v>
      </c>
      <c r="J12" s="37">
        <v>2</v>
      </c>
      <c r="K12" s="37">
        <v>1</v>
      </c>
      <c r="L12" s="37">
        <v>4</v>
      </c>
      <c r="M12" s="37">
        <v>10</v>
      </c>
      <c r="N12" s="1">
        <f>498*6/1000</f>
        <v>2.988</v>
      </c>
      <c r="O12" s="43">
        <f t="shared" si="9"/>
        <v>29.88</v>
      </c>
      <c r="P12" s="39">
        <f t="shared" si="10"/>
        <v>247.77200720086091</v>
      </c>
      <c r="Q12" s="1">
        <f>42.5*19*13.5/1000000</f>
        <v>1.0901249999999999E-2</v>
      </c>
      <c r="R12" s="7">
        <f t="shared" si="0"/>
        <v>274.09700722394223</v>
      </c>
      <c r="S12" s="1">
        <f t="shared" si="11"/>
        <v>10</v>
      </c>
      <c r="T12" s="39">
        <f t="shared" si="12"/>
        <v>444.84829977272733</v>
      </c>
      <c r="U12" s="44">
        <f t="shared" si="1"/>
        <v>0.1090125</v>
      </c>
      <c r="V12" s="1">
        <f>100*19/10000</f>
        <v>0.19</v>
      </c>
      <c r="W12" s="1">
        <f>66*100*19/1000000</f>
        <v>0.12540000000000001</v>
      </c>
      <c r="X12" s="45">
        <v>14.21</v>
      </c>
      <c r="Y12" s="46">
        <f t="shared" si="2"/>
        <v>1.3370865587614356E-2</v>
      </c>
      <c r="Z12" s="47">
        <f t="shared" si="3"/>
        <v>0.86931818181818177</v>
      </c>
      <c r="AA12" s="9">
        <v>34.103999999999999</v>
      </c>
      <c r="AB12" s="11">
        <f t="shared" si="4"/>
        <v>3.6769880365939483E-3</v>
      </c>
      <c r="AC12" s="12">
        <f t="shared" si="13"/>
        <v>44.564013969035905</v>
      </c>
      <c r="AD12" s="13">
        <f t="shared" si="14"/>
        <v>11.265467553089104</v>
      </c>
      <c r="AE12" s="12">
        <f t="shared" si="5"/>
        <v>55.829481522125008</v>
      </c>
      <c r="AF12" s="12">
        <f t="shared" si="15"/>
        <v>18.032922531646378</v>
      </c>
      <c r="AG12" s="14">
        <f t="shared" si="6"/>
        <v>1.868456543578481</v>
      </c>
      <c r="AH12" s="15">
        <f t="shared" si="16"/>
        <v>0.60351146357584939</v>
      </c>
      <c r="AI12" s="16">
        <f t="shared" si="7"/>
        <v>7.0797164701500376E-3</v>
      </c>
    </row>
    <row r="13" spans="1:43" ht="14.25" customHeight="1" x14ac:dyDescent="0.35">
      <c r="A13" t="s">
        <v>468</v>
      </c>
      <c r="B13" s="1" t="s">
        <v>476</v>
      </c>
      <c r="C13" s="1">
        <f t="shared" si="8"/>
        <v>2</v>
      </c>
      <c r="D13" t="s">
        <v>63</v>
      </c>
      <c r="E13" s="5" t="s">
        <v>37</v>
      </c>
      <c r="F13" s="5" t="s">
        <v>38</v>
      </c>
      <c r="G13" s="4" t="s">
        <v>39</v>
      </c>
      <c r="H13" s="4" t="s">
        <v>40</v>
      </c>
      <c r="I13" s="6" t="s">
        <v>46</v>
      </c>
      <c r="J13" s="37">
        <v>2</v>
      </c>
      <c r="K13" s="37">
        <v>2</v>
      </c>
      <c r="L13" s="37">
        <v>1</v>
      </c>
      <c r="M13" s="37">
        <v>4.5</v>
      </c>
      <c r="N13" s="37">
        <f t="shared" ref="N13:N18" si="17">1.6*6</f>
        <v>9.6000000000000014</v>
      </c>
      <c r="O13" s="51">
        <f t="shared" ref="O13:O36" si="18">+N13*M13</f>
        <v>43.2</v>
      </c>
      <c r="P13" s="39">
        <f t="shared" si="10"/>
        <v>358.22458872413625</v>
      </c>
      <c r="Q13" s="1">
        <f t="shared" ref="Q13:Q18" si="19">39*20*30/1000000</f>
        <v>2.3400000000000001E-2</v>
      </c>
      <c r="R13" s="7">
        <f t="shared" si="0"/>
        <v>410.25641025641033</v>
      </c>
      <c r="S13" s="1">
        <f t="shared" si="11"/>
        <v>4.5</v>
      </c>
      <c r="T13" s="39">
        <f t="shared" si="12"/>
        <v>200.18173489772732</v>
      </c>
      <c r="U13" s="44">
        <f t="shared" si="1"/>
        <v>0.1053</v>
      </c>
      <c r="V13" s="65">
        <f>1*1.34/6</f>
        <v>0.22333333333333336</v>
      </c>
      <c r="W13" s="181">
        <f>1.34/6*0.7</f>
        <v>0.15633333333333335</v>
      </c>
      <c r="X13" s="45">
        <v>14.21</v>
      </c>
      <c r="Y13" s="46">
        <f t="shared" si="2"/>
        <v>1.5716631480178277E-2</v>
      </c>
      <c r="Z13" s="47">
        <f t="shared" si="3"/>
        <v>0.67356076759061834</v>
      </c>
      <c r="AA13" s="9">
        <v>34.103999999999999</v>
      </c>
      <c r="AB13" s="11">
        <f t="shared" si="4"/>
        <v>4.5840175150519986E-3</v>
      </c>
      <c r="AC13" s="12">
        <f t="shared" si="13"/>
        <v>55.55694458128081</v>
      </c>
      <c r="AD13" s="13">
        <f t="shared" si="14"/>
        <v>14.044402664536921</v>
      </c>
      <c r="AE13" s="12">
        <f t="shared" si="5"/>
        <v>69.601347245817735</v>
      </c>
      <c r="AF13" s="12">
        <f t="shared" si="15"/>
        <v>22.48123516039913</v>
      </c>
      <c r="AG13" s="14">
        <f t="shared" si="6"/>
        <v>1.6111422973568919</v>
      </c>
      <c r="AH13" s="15">
        <f t="shared" si="16"/>
        <v>0.52039896204627611</v>
      </c>
      <c r="AI13" s="16">
        <f t="shared" si="7"/>
        <v>1.0235734655638609E-2</v>
      </c>
    </row>
    <row r="14" spans="1:43" ht="14.25" customHeight="1" x14ac:dyDescent="0.35">
      <c r="A14" t="s">
        <v>468</v>
      </c>
      <c r="B14" s="1" t="s">
        <v>476</v>
      </c>
      <c r="C14" s="1">
        <f t="shared" si="8"/>
        <v>2</v>
      </c>
      <c r="D14" t="s">
        <v>64</v>
      </c>
      <c r="E14" s="5" t="s">
        <v>37</v>
      </c>
      <c r="F14" s="5" t="s">
        <v>38</v>
      </c>
      <c r="G14" s="4" t="s">
        <v>39</v>
      </c>
      <c r="H14" s="4" t="s">
        <v>40</v>
      </c>
      <c r="I14" s="6" t="s">
        <v>46</v>
      </c>
      <c r="J14" s="37">
        <v>2</v>
      </c>
      <c r="K14" s="37">
        <v>2</v>
      </c>
      <c r="L14" s="37">
        <v>2</v>
      </c>
      <c r="M14" s="37">
        <v>4.5</v>
      </c>
      <c r="N14" s="37">
        <f t="shared" si="17"/>
        <v>9.6000000000000014</v>
      </c>
      <c r="O14" s="51">
        <f t="shared" si="18"/>
        <v>43.2</v>
      </c>
      <c r="P14" s="39">
        <f t="shared" si="10"/>
        <v>358.22458872413625</v>
      </c>
      <c r="Q14" s="1">
        <f t="shared" si="19"/>
        <v>2.3400000000000001E-2</v>
      </c>
      <c r="R14" s="7">
        <f t="shared" si="0"/>
        <v>410.25641025641033</v>
      </c>
      <c r="S14" s="1">
        <f t="shared" si="11"/>
        <v>4.5</v>
      </c>
      <c r="T14" s="39">
        <f t="shared" si="12"/>
        <v>200.18173489772732</v>
      </c>
      <c r="U14" s="44">
        <f t="shared" si="1"/>
        <v>0.1053</v>
      </c>
      <c r="V14" s="65">
        <f t="shared" ref="V14:V18" si="20">1*1.34/6</f>
        <v>0.22333333333333336</v>
      </c>
      <c r="W14" s="181">
        <f t="shared" ref="W14:W18" si="21">1.34/6*0.7</f>
        <v>0.15633333333333335</v>
      </c>
      <c r="X14" s="45">
        <v>14.21</v>
      </c>
      <c r="Y14" s="46">
        <f t="shared" si="2"/>
        <v>1.5716631480178277E-2</v>
      </c>
      <c r="Z14" s="47">
        <f t="shared" si="3"/>
        <v>0.67356076759061834</v>
      </c>
      <c r="AA14" s="9">
        <v>34.103999999999999</v>
      </c>
      <c r="AB14" s="11">
        <f t="shared" si="4"/>
        <v>4.5840175150519986E-3</v>
      </c>
      <c r="AC14" s="12">
        <f t="shared" si="13"/>
        <v>55.55694458128081</v>
      </c>
      <c r="AD14" s="13">
        <f t="shared" si="14"/>
        <v>14.044402664536921</v>
      </c>
      <c r="AE14" s="12">
        <f t="shared" si="5"/>
        <v>69.601347245817735</v>
      </c>
      <c r="AF14" s="12">
        <f t="shared" si="15"/>
        <v>22.48123516039913</v>
      </c>
      <c r="AG14" s="14">
        <f t="shared" si="6"/>
        <v>1.6111422973568919</v>
      </c>
      <c r="AH14" s="15">
        <f t="shared" si="16"/>
        <v>0.52039896204627611</v>
      </c>
      <c r="AI14" s="16">
        <f t="shared" si="7"/>
        <v>1.0235734655638609E-2</v>
      </c>
    </row>
    <row r="15" spans="1:43" ht="14.25" customHeight="1" x14ac:dyDescent="0.35">
      <c r="A15" t="s">
        <v>468</v>
      </c>
      <c r="B15" s="1" t="s">
        <v>476</v>
      </c>
      <c r="C15" s="1">
        <f t="shared" si="8"/>
        <v>2</v>
      </c>
      <c r="D15" t="s">
        <v>64</v>
      </c>
      <c r="E15" s="5" t="s">
        <v>37</v>
      </c>
      <c r="F15" s="5" t="s">
        <v>38</v>
      </c>
      <c r="G15" s="4" t="s">
        <v>39</v>
      </c>
      <c r="H15" s="4" t="s">
        <v>40</v>
      </c>
      <c r="I15" s="6" t="s">
        <v>46</v>
      </c>
      <c r="J15" s="37">
        <v>2</v>
      </c>
      <c r="K15" s="37">
        <v>2</v>
      </c>
      <c r="L15" s="37">
        <v>3</v>
      </c>
      <c r="M15" s="37">
        <v>4.5</v>
      </c>
      <c r="N15" s="37">
        <f t="shared" si="17"/>
        <v>9.6000000000000014</v>
      </c>
      <c r="O15" s="51">
        <f t="shared" si="18"/>
        <v>43.2</v>
      </c>
      <c r="P15" s="39">
        <f t="shared" si="10"/>
        <v>358.22458872413625</v>
      </c>
      <c r="Q15" s="1">
        <f t="shared" si="19"/>
        <v>2.3400000000000001E-2</v>
      </c>
      <c r="R15" s="7">
        <f t="shared" si="0"/>
        <v>410.25641025641033</v>
      </c>
      <c r="S15" s="1">
        <f t="shared" si="11"/>
        <v>4.5</v>
      </c>
      <c r="T15" s="39">
        <f t="shared" si="12"/>
        <v>200.18173489772732</v>
      </c>
      <c r="U15" s="44">
        <f t="shared" si="1"/>
        <v>0.1053</v>
      </c>
      <c r="V15" s="65">
        <f t="shared" si="20"/>
        <v>0.22333333333333336</v>
      </c>
      <c r="W15" s="181">
        <f t="shared" si="21"/>
        <v>0.15633333333333335</v>
      </c>
      <c r="X15" s="45">
        <v>14.21</v>
      </c>
      <c r="Y15" s="46">
        <f t="shared" si="2"/>
        <v>1.5716631480178277E-2</v>
      </c>
      <c r="Z15" s="47">
        <f t="shared" si="3"/>
        <v>0.67356076759061834</v>
      </c>
      <c r="AA15" s="9">
        <v>34.103999999999999</v>
      </c>
      <c r="AB15" s="11">
        <f t="shared" si="4"/>
        <v>4.5840175150519986E-3</v>
      </c>
      <c r="AC15" s="12">
        <f t="shared" si="13"/>
        <v>55.55694458128081</v>
      </c>
      <c r="AD15" s="13">
        <f t="shared" si="14"/>
        <v>14.044402664536921</v>
      </c>
      <c r="AE15" s="12">
        <f t="shared" si="5"/>
        <v>69.601347245817735</v>
      </c>
      <c r="AF15" s="12">
        <f t="shared" si="15"/>
        <v>22.48123516039913</v>
      </c>
      <c r="AG15" s="14">
        <f t="shared" si="6"/>
        <v>1.6111422973568919</v>
      </c>
      <c r="AH15" s="15">
        <f t="shared" si="16"/>
        <v>0.52039896204627611</v>
      </c>
      <c r="AI15" s="16">
        <f t="shared" si="7"/>
        <v>1.0235734655638609E-2</v>
      </c>
    </row>
    <row r="16" spans="1:43" ht="14.25" customHeight="1" x14ac:dyDescent="0.35">
      <c r="A16" t="s">
        <v>468</v>
      </c>
      <c r="B16" s="1" t="s">
        <v>476</v>
      </c>
      <c r="C16" s="1">
        <f t="shared" si="8"/>
        <v>2</v>
      </c>
      <c r="D16" t="s">
        <v>65</v>
      </c>
      <c r="E16" s="5" t="s">
        <v>37</v>
      </c>
      <c r="F16" s="5" t="s">
        <v>38</v>
      </c>
      <c r="G16" s="4" t="s">
        <v>39</v>
      </c>
      <c r="H16" s="4" t="s">
        <v>40</v>
      </c>
      <c r="I16" s="6" t="s">
        <v>46</v>
      </c>
      <c r="J16" s="37">
        <v>2</v>
      </c>
      <c r="K16" s="37">
        <v>2</v>
      </c>
      <c r="L16" s="37">
        <v>4</v>
      </c>
      <c r="M16" s="37">
        <v>4.5</v>
      </c>
      <c r="N16" s="37">
        <f t="shared" si="17"/>
        <v>9.6000000000000014</v>
      </c>
      <c r="O16" s="51">
        <f t="shared" si="18"/>
        <v>43.2</v>
      </c>
      <c r="P16" s="39">
        <f t="shared" si="10"/>
        <v>358.22458872413625</v>
      </c>
      <c r="Q16" s="1">
        <f t="shared" si="19"/>
        <v>2.3400000000000001E-2</v>
      </c>
      <c r="R16" s="7">
        <f t="shared" si="0"/>
        <v>410.25641025641033</v>
      </c>
      <c r="S16" s="1">
        <f t="shared" si="11"/>
        <v>4.5</v>
      </c>
      <c r="T16" s="39">
        <f t="shared" si="12"/>
        <v>200.18173489772732</v>
      </c>
      <c r="U16" s="44">
        <f t="shared" si="1"/>
        <v>0.1053</v>
      </c>
      <c r="V16" s="65">
        <f t="shared" si="20"/>
        <v>0.22333333333333336</v>
      </c>
      <c r="W16" s="181">
        <f t="shared" si="21"/>
        <v>0.15633333333333335</v>
      </c>
      <c r="X16" s="45">
        <v>14.21</v>
      </c>
      <c r="Y16" s="46">
        <f t="shared" si="2"/>
        <v>1.5716631480178277E-2</v>
      </c>
      <c r="Z16" s="47">
        <f t="shared" si="3"/>
        <v>0.67356076759061834</v>
      </c>
      <c r="AA16" s="9">
        <v>34.103999999999999</v>
      </c>
      <c r="AB16" s="11">
        <f t="shared" si="4"/>
        <v>4.5840175150519986E-3</v>
      </c>
      <c r="AC16" s="12">
        <f t="shared" si="13"/>
        <v>55.55694458128081</v>
      </c>
      <c r="AD16" s="13">
        <f t="shared" si="14"/>
        <v>14.044402664536921</v>
      </c>
      <c r="AE16" s="12">
        <f t="shared" si="5"/>
        <v>69.601347245817735</v>
      </c>
      <c r="AF16" s="12">
        <f t="shared" si="15"/>
        <v>22.48123516039913</v>
      </c>
      <c r="AG16" s="14">
        <f t="shared" si="6"/>
        <v>1.6111422973568919</v>
      </c>
      <c r="AH16" s="15">
        <f t="shared" si="16"/>
        <v>0.52039896204627611</v>
      </c>
      <c r="AI16" s="16">
        <f t="shared" si="7"/>
        <v>1.0235734655638609E-2</v>
      </c>
    </row>
    <row r="17" spans="1:55" ht="14.25" customHeight="1" x14ac:dyDescent="0.35">
      <c r="A17" t="s">
        <v>468</v>
      </c>
      <c r="B17" s="1" t="s">
        <v>476</v>
      </c>
      <c r="C17" s="1">
        <f t="shared" si="8"/>
        <v>2</v>
      </c>
      <c r="D17" t="s">
        <v>65</v>
      </c>
      <c r="E17" s="5" t="s">
        <v>37</v>
      </c>
      <c r="F17" s="5" t="s">
        <v>38</v>
      </c>
      <c r="G17" s="4" t="s">
        <v>39</v>
      </c>
      <c r="H17" s="4" t="s">
        <v>40</v>
      </c>
      <c r="I17" s="6" t="s">
        <v>46</v>
      </c>
      <c r="J17" s="37">
        <v>2</v>
      </c>
      <c r="K17" s="37">
        <v>2</v>
      </c>
      <c r="L17" s="37">
        <v>5</v>
      </c>
      <c r="M17" s="37">
        <v>4.5</v>
      </c>
      <c r="N17" s="37">
        <f t="shared" si="17"/>
        <v>9.6000000000000014</v>
      </c>
      <c r="O17" s="51">
        <f t="shared" si="18"/>
        <v>43.2</v>
      </c>
      <c r="P17" s="39">
        <f t="shared" si="10"/>
        <v>358.22458872413625</v>
      </c>
      <c r="Q17" s="1">
        <f t="shared" si="19"/>
        <v>2.3400000000000001E-2</v>
      </c>
      <c r="R17" s="7">
        <f t="shared" si="0"/>
        <v>410.25641025641033</v>
      </c>
      <c r="S17" s="1">
        <f t="shared" si="11"/>
        <v>4.5</v>
      </c>
      <c r="T17" s="39">
        <f t="shared" si="12"/>
        <v>200.18173489772732</v>
      </c>
      <c r="U17" s="44">
        <f t="shared" si="1"/>
        <v>0.1053</v>
      </c>
      <c r="V17" s="65">
        <f t="shared" si="20"/>
        <v>0.22333333333333336</v>
      </c>
      <c r="W17" s="181">
        <f t="shared" si="21"/>
        <v>0.15633333333333335</v>
      </c>
      <c r="X17" s="45">
        <v>14.21</v>
      </c>
      <c r="Y17" s="46">
        <f t="shared" si="2"/>
        <v>1.5716631480178277E-2</v>
      </c>
      <c r="Z17" s="47">
        <f t="shared" si="3"/>
        <v>0.67356076759061834</v>
      </c>
      <c r="AA17" s="9">
        <v>34.103999999999999</v>
      </c>
      <c r="AB17" s="11">
        <f t="shared" si="4"/>
        <v>4.5840175150519986E-3</v>
      </c>
      <c r="AC17" s="12">
        <f t="shared" si="13"/>
        <v>55.55694458128081</v>
      </c>
      <c r="AD17" s="13">
        <f t="shared" si="14"/>
        <v>14.044402664536921</v>
      </c>
      <c r="AE17" s="12">
        <f t="shared" si="5"/>
        <v>69.601347245817735</v>
      </c>
      <c r="AF17" s="12">
        <f t="shared" si="15"/>
        <v>22.48123516039913</v>
      </c>
      <c r="AG17" s="14">
        <f t="shared" si="6"/>
        <v>1.6111422973568919</v>
      </c>
      <c r="AH17" s="15">
        <f t="shared" si="16"/>
        <v>0.52039896204627611</v>
      </c>
      <c r="AI17" s="16">
        <f t="shared" si="7"/>
        <v>1.0235734655638609E-2</v>
      </c>
    </row>
    <row r="18" spans="1:55" ht="14.25" customHeight="1" x14ac:dyDescent="0.35">
      <c r="A18" s="52" t="s">
        <v>468</v>
      </c>
      <c r="B18" s="56" t="s">
        <v>476</v>
      </c>
      <c r="C18" s="56">
        <f t="shared" si="8"/>
        <v>2</v>
      </c>
      <c r="D18" s="52" t="s">
        <v>66</v>
      </c>
      <c r="E18" s="18" t="s">
        <v>37</v>
      </c>
      <c r="F18" s="18" t="s">
        <v>38</v>
      </c>
      <c r="G18" s="17" t="s">
        <v>39</v>
      </c>
      <c r="H18" s="17" t="s">
        <v>40</v>
      </c>
      <c r="I18" s="19" t="s">
        <v>46</v>
      </c>
      <c r="J18" s="53">
        <v>2</v>
      </c>
      <c r="K18" s="53">
        <v>2</v>
      </c>
      <c r="L18" s="53">
        <v>6</v>
      </c>
      <c r="M18" s="53">
        <v>4.5</v>
      </c>
      <c r="N18" s="53">
        <f t="shared" si="17"/>
        <v>9.6000000000000014</v>
      </c>
      <c r="O18" s="54">
        <f t="shared" si="18"/>
        <v>43.2</v>
      </c>
      <c r="P18" s="55">
        <f t="shared" si="10"/>
        <v>358.22458872413625</v>
      </c>
      <c r="Q18" s="56">
        <f t="shared" si="19"/>
        <v>2.3400000000000001E-2</v>
      </c>
      <c r="R18" s="20">
        <f t="shared" si="0"/>
        <v>410.25641025641033</v>
      </c>
      <c r="S18" s="56">
        <f t="shared" si="11"/>
        <v>4.5</v>
      </c>
      <c r="T18" s="57">
        <f t="shared" si="12"/>
        <v>200.18173489772732</v>
      </c>
      <c r="U18" s="58">
        <f t="shared" si="1"/>
        <v>0.1053</v>
      </c>
      <c r="V18" s="73">
        <f t="shared" si="20"/>
        <v>0.22333333333333336</v>
      </c>
      <c r="W18" s="182">
        <f t="shared" si="21"/>
        <v>0.15633333333333335</v>
      </c>
      <c r="X18" s="22">
        <v>14.21</v>
      </c>
      <c r="Y18" s="23">
        <f t="shared" si="2"/>
        <v>1.5716631480178277E-2</v>
      </c>
      <c r="Z18" s="23">
        <f t="shared" si="3"/>
        <v>0.67356076759061834</v>
      </c>
      <c r="AA18" s="59">
        <v>34.103999999999999</v>
      </c>
      <c r="AB18" s="60">
        <f t="shared" si="4"/>
        <v>4.5840175150519986E-3</v>
      </c>
      <c r="AC18" s="25">
        <f t="shared" si="13"/>
        <v>55.55694458128081</v>
      </c>
      <c r="AD18" s="26">
        <f t="shared" si="14"/>
        <v>14.044402664536921</v>
      </c>
      <c r="AE18" s="25">
        <f t="shared" si="5"/>
        <v>69.601347245817735</v>
      </c>
      <c r="AF18" s="25">
        <f t="shared" si="15"/>
        <v>22.48123516039913</v>
      </c>
      <c r="AG18" s="27">
        <f t="shared" si="6"/>
        <v>1.6111422973568919</v>
      </c>
      <c r="AH18" s="28">
        <f t="shared" si="16"/>
        <v>0.52039896204627611</v>
      </c>
      <c r="AI18" s="29">
        <f t="shared" si="7"/>
        <v>1.0235734655638609E-2</v>
      </c>
      <c r="AJ18" s="61">
        <v>0.2</v>
      </c>
      <c r="AK18" s="61">
        <v>0.17699999999999999</v>
      </c>
      <c r="AL18" s="31">
        <f>718150542*AK18/1448</f>
        <v>87784.976473756906</v>
      </c>
      <c r="AM18" s="31">
        <f>+AL18/52</f>
        <v>1688.1726244953252</v>
      </c>
      <c r="AN18" s="32">
        <f>74813*AJ18*0.81</f>
        <v>12119.706000000002</v>
      </c>
      <c r="AO18" s="33">
        <f>+AP18*AN18</f>
        <v>3914.6650380000005</v>
      </c>
      <c r="AP18" s="34">
        <v>0.32300000000000001</v>
      </c>
      <c r="AQ18" s="35">
        <f>+AO18/AL18</f>
        <v>4.4593792642528982E-2</v>
      </c>
    </row>
    <row r="19" spans="1:55" ht="14.25" customHeight="1" x14ac:dyDescent="0.35">
      <c r="A19" t="s">
        <v>469</v>
      </c>
      <c r="B19" s="1" t="s">
        <v>476</v>
      </c>
      <c r="C19" s="1">
        <f t="shared" si="8"/>
        <v>3</v>
      </c>
      <c r="D19" t="s">
        <v>67</v>
      </c>
      <c r="E19" s="9" t="s">
        <v>37</v>
      </c>
      <c r="F19" s="9" t="s">
        <v>38</v>
      </c>
      <c r="G19" t="s">
        <v>39</v>
      </c>
      <c r="H19" s="62" t="s">
        <v>40</v>
      </c>
      <c r="I19" s="63" t="s">
        <v>68</v>
      </c>
      <c r="J19" s="1">
        <v>3</v>
      </c>
      <c r="K19" s="1">
        <v>1</v>
      </c>
      <c r="L19" s="1">
        <v>6</v>
      </c>
      <c r="M19" s="1">
        <v>54</v>
      </c>
      <c r="N19" s="1">
        <v>4.1399999999999997</v>
      </c>
      <c r="O19" s="51">
        <f t="shared" si="18"/>
        <v>223.55999999999997</v>
      </c>
      <c r="P19" s="39">
        <f>+$AO$20*O19/SUM($O$19:$O$20)</f>
        <v>735.67740821271434</v>
      </c>
      <c r="Q19" s="40">
        <f>23.5*32.5*14/1000000</f>
        <v>1.0692500000000001E-2</v>
      </c>
      <c r="R19" s="64">
        <f t="shared" si="0"/>
        <v>387.18728080430202</v>
      </c>
      <c r="S19" s="1">
        <v>54</v>
      </c>
      <c r="T19" s="39">
        <f>+$AO$20*S19/SUM($S$19:$S$20)</f>
        <v>735.67740821271434</v>
      </c>
      <c r="U19" s="44">
        <f t="shared" si="1"/>
        <v>0.57739499999999999</v>
      </c>
      <c r="V19" s="1">
        <f>+(68+65.5)*100/10000</f>
        <v>1.335</v>
      </c>
      <c r="W19" s="65">
        <f>(51+70)*(68+65.5)*100/1000000</f>
        <v>1.6153500000000001</v>
      </c>
      <c r="X19" s="37">
        <v>14.21</v>
      </c>
      <c r="Y19" s="46">
        <f t="shared" si="2"/>
        <v>9.3947923997185073E-2</v>
      </c>
      <c r="Z19" s="46">
        <f t="shared" si="3"/>
        <v>0.35744265948556037</v>
      </c>
      <c r="AA19" s="37">
        <v>34.103999999999999</v>
      </c>
      <c r="AB19" s="66">
        <f t="shared" si="4"/>
        <v>4.7365411681914146E-2</v>
      </c>
      <c r="AC19" s="12">
        <f>+$AN$20*AB19</f>
        <v>251.72305793142596</v>
      </c>
      <c r="AD19" s="13">
        <f>(2.09*2.94*0.75+1.2*1.6*2.09)/AA19*AB19*$AN$20</f>
        <v>63.633808737723029</v>
      </c>
      <c r="AE19" s="12">
        <f t="shared" si="5"/>
        <v>315.35686666914899</v>
      </c>
      <c r="AF19" s="12">
        <f>+$AP$20*AE19</f>
        <v>101.86026793413512</v>
      </c>
      <c r="AG19" s="14">
        <f t="shared" si="6"/>
        <v>1.4106140037088433</v>
      </c>
      <c r="AH19" s="15">
        <f>+AG19*$AP$20</f>
        <v>0.45562832319795638</v>
      </c>
      <c r="AI19" s="67">
        <f t="shared" si="7"/>
        <v>5.2969926842929796E-2</v>
      </c>
      <c r="AQ19" s="1"/>
    </row>
    <row r="20" spans="1:55" ht="14.25" customHeight="1" x14ac:dyDescent="0.35">
      <c r="A20" s="52" t="s">
        <v>469</v>
      </c>
      <c r="B20" s="56" t="s">
        <v>476</v>
      </c>
      <c r="C20" s="56">
        <f t="shared" si="8"/>
        <v>3</v>
      </c>
      <c r="D20" s="52" t="s">
        <v>69</v>
      </c>
      <c r="E20" s="53" t="s">
        <v>48</v>
      </c>
      <c r="F20" s="53" t="s">
        <v>70</v>
      </c>
      <c r="G20" s="68" t="s">
        <v>50</v>
      </c>
      <c r="H20" s="68" t="s">
        <v>51</v>
      </c>
      <c r="I20" s="69" t="s">
        <v>68</v>
      </c>
      <c r="J20" s="56">
        <v>3</v>
      </c>
      <c r="K20" s="56">
        <v>2</v>
      </c>
      <c r="L20" s="56">
        <v>6</v>
      </c>
      <c r="M20" s="56">
        <v>72</v>
      </c>
      <c r="N20" s="56">
        <v>4.1399999999999997</v>
      </c>
      <c r="O20" s="70">
        <f t="shared" si="18"/>
        <v>298.08</v>
      </c>
      <c r="P20" s="57">
        <f>+$AO$20*O20/SUM($O$19:$O$20)</f>
        <v>980.90321095028571</v>
      </c>
      <c r="Q20" s="71">
        <f>23.5*32.5*14/1000000</f>
        <v>1.0692500000000001E-2</v>
      </c>
      <c r="R20" s="72">
        <f t="shared" si="0"/>
        <v>387.18728080430202</v>
      </c>
      <c r="S20" s="56">
        <v>72</v>
      </c>
      <c r="T20" s="57">
        <f>+$AO$20*S20/SUM($S$19:$S$20)</f>
        <v>980.90321095028582</v>
      </c>
      <c r="U20" s="58">
        <f t="shared" si="1"/>
        <v>0.76985999999999999</v>
      </c>
      <c r="V20" s="56">
        <f>+(68+65.5)*100/10000</f>
        <v>1.335</v>
      </c>
      <c r="W20" s="73">
        <f>(51+70)*(68+65.5)*100/1000000</f>
        <v>1.6153500000000001</v>
      </c>
      <c r="X20" s="53">
        <v>14.21</v>
      </c>
      <c r="Y20" s="74">
        <f t="shared" si="2"/>
        <v>9.3947923997185073E-2</v>
      </c>
      <c r="Z20" s="74">
        <f t="shared" si="3"/>
        <v>0.47659021264741386</v>
      </c>
      <c r="AA20" s="75">
        <v>34.103999999999999</v>
      </c>
      <c r="AB20" s="24">
        <f t="shared" si="4"/>
        <v>4.7365411681914146E-2</v>
      </c>
      <c r="AC20" s="25">
        <f>+$AN$20*AB20</f>
        <v>251.72305793142596</v>
      </c>
      <c r="AD20" s="26">
        <f>(2.09*2.94*0.75+1.2*1.6*2.09)/AA20*AB20*$AN$20</f>
        <v>63.633808737723029</v>
      </c>
      <c r="AE20" s="25">
        <f t="shared" si="5"/>
        <v>315.35686666914899</v>
      </c>
      <c r="AF20" s="25">
        <f>+$AP$20*AE20</f>
        <v>101.86026793413512</v>
      </c>
      <c r="AG20" s="27">
        <f t="shared" si="6"/>
        <v>1.0579605027816326</v>
      </c>
      <c r="AH20" s="28">
        <f>+AG20*$AP$20</f>
        <v>0.34172124239846735</v>
      </c>
      <c r="AI20" s="29">
        <f t="shared" si="7"/>
        <v>7.0626569123906399E-2</v>
      </c>
      <c r="AJ20" s="61">
        <v>8.77E-2</v>
      </c>
      <c r="AK20" s="76">
        <v>5.1900000000000002E-2</v>
      </c>
      <c r="AL20" s="31">
        <f>718150542*AK20/1448</f>
        <v>25740.340559254142</v>
      </c>
      <c r="AM20" s="31">
        <f>+AL20/52</f>
        <v>495.00654921642581</v>
      </c>
      <c r="AN20" s="32">
        <f>74813*AJ20*0.81</f>
        <v>5314.4910810000001</v>
      </c>
      <c r="AO20" s="33">
        <f>+AP20*AN20</f>
        <v>1716.5806191630002</v>
      </c>
      <c r="AP20" s="34">
        <v>0.32300000000000001</v>
      </c>
      <c r="AQ20" s="35">
        <f>+AO20/AL20</f>
        <v>6.668834140758316E-2</v>
      </c>
    </row>
    <row r="21" spans="1:55" ht="14.25" customHeight="1" x14ac:dyDescent="0.35">
      <c r="A21" t="s">
        <v>470</v>
      </c>
      <c r="B21" s="1" t="s">
        <v>476</v>
      </c>
      <c r="C21" s="1">
        <f t="shared" si="8"/>
        <v>4</v>
      </c>
      <c r="D21" t="s">
        <v>455</v>
      </c>
      <c r="E21" s="38" t="s">
        <v>48</v>
      </c>
      <c r="F21" s="38" t="s">
        <v>49</v>
      </c>
      <c r="G21" t="s">
        <v>50</v>
      </c>
      <c r="H21" s="36" t="s">
        <v>51</v>
      </c>
      <c r="I21" s="77" t="s">
        <v>458</v>
      </c>
      <c r="J21" s="1">
        <v>4</v>
      </c>
      <c r="K21" s="180" t="s">
        <v>460</v>
      </c>
      <c r="L21" s="1" t="s">
        <v>463</v>
      </c>
      <c r="M21" s="37">
        <v>60</v>
      </c>
      <c r="N21" s="1">
        <v>5.5</v>
      </c>
      <c r="O21" s="178">
        <f t="shared" si="18"/>
        <v>330</v>
      </c>
      <c r="P21" s="39">
        <f>+$AO$26*O21/SUM($O$21:$O$26)</f>
        <v>536.42283900679809</v>
      </c>
      <c r="Q21" s="1">
        <f>+(39*25*26)/1000000</f>
        <v>2.5350000000000001E-2</v>
      </c>
      <c r="R21" s="177">
        <f t="shared" si="0"/>
        <v>216.96252465483235</v>
      </c>
      <c r="S21" s="37">
        <v>60</v>
      </c>
      <c r="T21" s="39">
        <f>+$AO$26*S21/SUM($S$21:$S$26)</f>
        <v>559.52238709799997</v>
      </c>
      <c r="U21" s="44">
        <f t="shared" si="1"/>
        <v>1.5210000000000001</v>
      </c>
      <c r="V21" s="1">
        <f>+(2.95*1.02+0.75*1.02)</f>
        <v>3.7740000000000005</v>
      </c>
      <c r="W21" s="1">
        <v>2.6418000000000004</v>
      </c>
      <c r="X21" s="37">
        <v>14.21</v>
      </c>
      <c r="Y21" s="46">
        <f t="shared" si="2"/>
        <v>0.2655876143560873</v>
      </c>
      <c r="Z21" s="46">
        <f t="shared" si="3"/>
        <v>0.5757438110379286</v>
      </c>
      <c r="AA21" s="37">
        <v>34.103999999999999</v>
      </c>
      <c r="AB21" s="66">
        <f t="shared" si="4"/>
        <v>7.7463054187192126E-2</v>
      </c>
      <c r="AC21" s="12">
        <f>+$AN$26*AB21</f>
        <v>382.43217344752469</v>
      </c>
      <c r="AD21" s="13">
        <f>(2.09*2.94*0.75+1.2*1.6*2.09)/AA21*AB21*$AN$26</f>
        <v>96.676148702042937</v>
      </c>
      <c r="AE21" s="12">
        <f t="shared" si="5"/>
        <v>479.10832214956764</v>
      </c>
      <c r="AF21" s="12">
        <f>+$AP$26*AE21</f>
        <v>154.75198805431035</v>
      </c>
      <c r="AG21" s="14">
        <f t="shared" si="6"/>
        <v>1.4518434004532352</v>
      </c>
      <c r="AH21" s="15">
        <f>+AG21*$AP$26</f>
        <v>0.46894541834639497</v>
      </c>
      <c r="AI21" s="16">
        <f t="shared" si="7"/>
        <v>7.8189639730572705E-2</v>
      </c>
      <c r="AJ21" s="1"/>
      <c r="AK21" s="78"/>
      <c r="AL21" s="1"/>
    </row>
    <row r="22" spans="1:55" ht="14.25" customHeight="1" x14ac:dyDescent="0.35">
      <c r="A22" t="s">
        <v>470</v>
      </c>
      <c r="B22" s="1" t="s">
        <v>476</v>
      </c>
      <c r="C22" s="1">
        <f t="shared" si="8"/>
        <v>4</v>
      </c>
      <c r="D22" t="s">
        <v>457</v>
      </c>
      <c r="E22" s="37" t="s">
        <v>48</v>
      </c>
      <c r="F22" s="38" t="s">
        <v>49</v>
      </c>
      <c r="G22" t="s">
        <v>50</v>
      </c>
      <c r="H22" s="49" t="s">
        <v>51</v>
      </c>
      <c r="I22" s="63" t="s">
        <v>458</v>
      </c>
      <c r="J22" s="1">
        <v>4</v>
      </c>
      <c r="K22" s="1">
        <v>2</v>
      </c>
      <c r="L22" s="1">
        <v>3</v>
      </c>
      <c r="M22" s="37">
        <v>12</v>
      </c>
      <c r="N22" s="1">
        <v>4</v>
      </c>
      <c r="O22" s="178">
        <f t="shared" si="18"/>
        <v>48</v>
      </c>
      <c r="P22" s="39">
        <f t="shared" ref="P22:P26" si="22">+$AO$26*O22/SUM($O$21:$O$26)</f>
        <v>78.025140219170638</v>
      </c>
      <c r="Q22" s="1">
        <f t="shared" ref="Q22:Q23" si="23">+(39*25*26)/1000000</f>
        <v>2.5350000000000001E-2</v>
      </c>
      <c r="R22" s="64">
        <f t="shared" si="0"/>
        <v>157.79092702169623</v>
      </c>
      <c r="S22" s="37">
        <v>12</v>
      </c>
      <c r="T22" s="39">
        <f t="shared" ref="T22:T26" si="24">+$AO$26*S22/SUM($S$21:$S$26)</f>
        <v>111.90447741960001</v>
      </c>
      <c r="U22" s="44">
        <f t="shared" si="1"/>
        <v>0.30420000000000003</v>
      </c>
      <c r="V22" s="1">
        <f>+(0.75*1.02)</f>
        <v>0.76500000000000001</v>
      </c>
      <c r="W22" s="1">
        <v>0.53549999999999998</v>
      </c>
      <c r="X22" s="37">
        <v>14.21</v>
      </c>
      <c r="Y22" s="46">
        <f t="shared" si="2"/>
        <v>5.3835327234342013E-2</v>
      </c>
      <c r="Z22" s="46">
        <f t="shared" si="3"/>
        <v>0.56806722689075639</v>
      </c>
      <c r="AA22" s="37">
        <v>34.103999999999999</v>
      </c>
      <c r="AB22" s="66">
        <f t="shared" si="4"/>
        <v>1.5701970443349752E-2</v>
      </c>
      <c r="AC22" s="12">
        <f t="shared" ref="AC22:AC26" si="25">+$AN$26*AB22</f>
        <v>77.520035158282013</v>
      </c>
      <c r="AD22" s="13">
        <f t="shared" ref="AD22:AD36" si="26">(2.09*2.94*0.75+1.2*1.6*2.09)/AA22*AB22*$AN$26</f>
        <v>19.596516628792486</v>
      </c>
      <c r="AE22" s="12">
        <f t="shared" si="5"/>
        <v>97.116551787074499</v>
      </c>
      <c r="AF22" s="12">
        <f t="shared" ref="AF22:AF26" si="27">+$AP$26*AE22</f>
        <v>31.368646227225064</v>
      </c>
      <c r="AG22" s="14">
        <f t="shared" si="6"/>
        <v>2.0232614955640522</v>
      </c>
      <c r="AH22" s="15">
        <f>+AG22*$AP$26</f>
        <v>0.65351346306718894</v>
      </c>
      <c r="AI22" s="67">
        <f t="shared" si="7"/>
        <v>1.137303850626512E-2</v>
      </c>
      <c r="AJ22" s="1"/>
      <c r="AK22" s="78"/>
      <c r="AL22" s="1"/>
    </row>
    <row r="23" spans="1:55" ht="14.25" customHeight="1" x14ac:dyDescent="0.35">
      <c r="A23" t="s">
        <v>470</v>
      </c>
      <c r="B23" s="1" t="s">
        <v>476</v>
      </c>
      <c r="C23" s="1">
        <f t="shared" si="8"/>
        <v>4</v>
      </c>
      <c r="D23" t="s">
        <v>473</v>
      </c>
      <c r="E23" s="37" t="s">
        <v>37</v>
      </c>
      <c r="F23" s="37" t="s">
        <v>38</v>
      </c>
      <c r="G23" t="s">
        <v>39</v>
      </c>
      <c r="H23" s="49" t="s">
        <v>40</v>
      </c>
      <c r="I23" s="63" t="s">
        <v>458</v>
      </c>
      <c r="J23" s="1">
        <v>4</v>
      </c>
      <c r="K23" s="1">
        <v>1</v>
      </c>
      <c r="L23" s="179" t="s">
        <v>462</v>
      </c>
      <c r="M23" s="37">
        <v>37</v>
      </c>
      <c r="N23" s="1">
        <v>5.0999999999999996</v>
      </c>
      <c r="O23" s="178">
        <f t="shared" si="18"/>
        <v>188.7</v>
      </c>
      <c r="P23" s="39">
        <f t="shared" si="22"/>
        <v>306.73633248661451</v>
      </c>
      <c r="Q23" s="1">
        <f t="shared" si="23"/>
        <v>2.5350000000000001E-2</v>
      </c>
      <c r="R23" s="64">
        <f t="shared" si="0"/>
        <v>201.18343195266269</v>
      </c>
      <c r="S23" s="37">
        <v>37</v>
      </c>
      <c r="T23" s="39">
        <f t="shared" si="24"/>
        <v>345.0388053771</v>
      </c>
      <c r="U23" s="44">
        <f t="shared" si="1"/>
        <v>0.93795000000000006</v>
      </c>
      <c r="V23" s="1">
        <f>+(2.95*1.02)</f>
        <v>3.0090000000000003</v>
      </c>
      <c r="W23" s="1">
        <v>1.5646800000000003</v>
      </c>
      <c r="X23" s="37">
        <v>14.21</v>
      </c>
      <c r="Y23" s="46">
        <f t="shared" si="2"/>
        <v>0.21175228712174526</v>
      </c>
      <c r="Z23" s="46">
        <f t="shared" si="3"/>
        <v>0.59945164506480553</v>
      </c>
      <c r="AA23" s="37">
        <v>34.103999999999999</v>
      </c>
      <c r="AB23" s="66">
        <f t="shared" si="4"/>
        <v>4.5879662209711479E-2</v>
      </c>
      <c r="AC23" s="12">
        <f t="shared" si="25"/>
        <v>226.50615987200885</v>
      </c>
      <c r="AD23" s="13">
        <f t="shared" si="26"/>
        <v>57.259155254414623</v>
      </c>
      <c r="AE23" s="12">
        <f t="shared" si="5"/>
        <v>283.7653151264235</v>
      </c>
      <c r="AF23" s="12">
        <f t="shared" si="27"/>
        <v>91.656196785834794</v>
      </c>
      <c r="AG23" s="14">
        <f t="shared" si="6"/>
        <v>1.5037907531871941</v>
      </c>
      <c r="AH23" s="15">
        <f t="shared" ref="AH23:AH26" si="28">+AG23*$AP$26</f>
        <v>0.4857244132794637</v>
      </c>
      <c r="AI23" s="67">
        <f t="shared" si="7"/>
        <v>4.4710257627754754E-2</v>
      </c>
      <c r="AJ23" s="1"/>
      <c r="AK23" s="78"/>
      <c r="AL23" s="1"/>
    </row>
    <row r="24" spans="1:55" ht="14.25" customHeight="1" x14ac:dyDescent="0.35">
      <c r="A24" t="s">
        <v>454</v>
      </c>
      <c r="B24" s="1" t="s">
        <v>476</v>
      </c>
      <c r="C24" s="1">
        <f t="shared" si="8"/>
        <v>4</v>
      </c>
      <c r="D24" t="s">
        <v>454</v>
      </c>
      <c r="E24" s="37" t="s">
        <v>37</v>
      </c>
      <c r="F24" s="37" t="s">
        <v>38</v>
      </c>
      <c r="G24" t="s">
        <v>39</v>
      </c>
      <c r="H24" s="49" t="s">
        <v>40</v>
      </c>
      <c r="I24" s="63" t="s">
        <v>458</v>
      </c>
      <c r="J24" s="1">
        <v>4</v>
      </c>
      <c r="K24" s="1">
        <v>3</v>
      </c>
      <c r="L24" s="1">
        <v>4</v>
      </c>
      <c r="M24" s="37">
        <v>18</v>
      </c>
      <c r="N24" s="1">
        <v>6.27</v>
      </c>
      <c r="O24" s="178">
        <f t="shared" si="18"/>
        <v>112.85999999999999</v>
      </c>
      <c r="P24" s="39">
        <f t="shared" si="22"/>
        <v>183.45661094032494</v>
      </c>
      <c r="Q24" s="40">
        <f>+(45*23*21.5)/1000000</f>
        <v>2.2252500000000001E-2</v>
      </c>
      <c r="R24" s="64">
        <f t="shared" si="0"/>
        <v>281.76609369733734</v>
      </c>
      <c r="S24" s="37">
        <v>18</v>
      </c>
      <c r="T24" s="39">
        <f t="shared" si="24"/>
        <v>167.85671612940001</v>
      </c>
      <c r="U24" s="44">
        <f t="shared" si="1"/>
        <v>0.40054500000000004</v>
      </c>
      <c r="V24" s="1">
        <f>+(0.75*1.02)</f>
        <v>0.76500000000000001</v>
      </c>
      <c r="W24" s="1">
        <v>0.53549999999999998</v>
      </c>
      <c r="X24" s="37">
        <v>14.21</v>
      </c>
      <c r="Y24" s="46">
        <f t="shared" si="2"/>
        <v>5.3835327234342013E-2</v>
      </c>
      <c r="Z24" s="46">
        <f t="shared" si="3"/>
        <v>0.747983193277311</v>
      </c>
      <c r="AA24" s="37">
        <v>34.103999999999999</v>
      </c>
      <c r="AB24" s="66">
        <f t="shared" si="4"/>
        <v>1.5701970443349752E-2</v>
      </c>
      <c r="AC24" s="12">
        <f t="shared" si="25"/>
        <v>77.520035158282013</v>
      </c>
      <c r="AD24" s="13">
        <f t="shared" si="26"/>
        <v>19.596516628792486</v>
      </c>
      <c r="AE24" s="12">
        <f t="shared" si="5"/>
        <v>97.116551787074499</v>
      </c>
      <c r="AF24" s="12">
        <f t="shared" si="27"/>
        <v>31.368646227225064</v>
      </c>
      <c r="AG24" s="14">
        <f t="shared" si="6"/>
        <v>0.86050462331272826</v>
      </c>
      <c r="AH24" s="15">
        <f t="shared" si="28"/>
        <v>0.27794299333001121</v>
      </c>
      <c r="AI24" s="67">
        <f t="shared" si="7"/>
        <v>2.6740856787855861E-2</v>
      </c>
    </row>
    <row r="25" spans="1:55" ht="14.25" customHeight="1" x14ac:dyDescent="0.35">
      <c r="A25" t="s">
        <v>453</v>
      </c>
      <c r="B25" s="1" t="s">
        <v>476</v>
      </c>
      <c r="C25" s="1">
        <f t="shared" si="8"/>
        <v>4</v>
      </c>
      <c r="D25" t="s">
        <v>453</v>
      </c>
      <c r="E25" s="5" t="s">
        <v>55</v>
      </c>
      <c r="F25" s="37" t="s">
        <v>56</v>
      </c>
      <c r="G25" t="s">
        <v>57</v>
      </c>
      <c r="H25" s="49" t="s">
        <v>58</v>
      </c>
      <c r="I25" s="63" t="s">
        <v>458</v>
      </c>
      <c r="J25" s="1">
        <v>4</v>
      </c>
      <c r="K25" s="1">
        <v>1</v>
      </c>
      <c r="L25" s="1">
        <v>4</v>
      </c>
      <c r="M25" s="37">
        <v>18</v>
      </c>
      <c r="N25" s="1">
        <v>2.88</v>
      </c>
      <c r="O25" s="178">
        <f t="shared" si="18"/>
        <v>51.839999999999996</v>
      </c>
      <c r="P25" s="39">
        <f t="shared" si="22"/>
        <v>84.267151436704282</v>
      </c>
      <c r="Q25" s="40">
        <f>+(31.5*21.5*24.5)/1000000</f>
        <v>1.6592625E-2</v>
      </c>
      <c r="R25" s="64">
        <f t="shared" si="0"/>
        <v>173.57108956539426</v>
      </c>
      <c r="S25" s="37">
        <v>18</v>
      </c>
      <c r="T25" s="39">
        <f t="shared" si="24"/>
        <v>167.85671612940001</v>
      </c>
      <c r="U25" s="44">
        <f t="shared" si="1"/>
        <v>0.29866725</v>
      </c>
      <c r="V25" s="1">
        <f>+(0.75*1.02)</f>
        <v>0.76500000000000001</v>
      </c>
      <c r="W25" s="1">
        <v>0.39780000000000004</v>
      </c>
      <c r="X25" s="37">
        <v>14.21</v>
      </c>
      <c r="Y25" s="46">
        <f t="shared" si="2"/>
        <v>5.3835327234342013E-2</v>
      </c>
      <c r="Z25" s="46">
        <f t="shared" si="3"/>
        <v>0.75079751131221706</v>
      </c>
      <c r="AA25" s="37">
        <v>34.103999999999999</v>
      </c>
      <c r="AB25" s="66">
        <f t="shared" si="4"/>
        <v>1.1664320900774103E-2</v>
      </c>
      <c r="AC25" s="12">
        <f t="shared" si="25"/>
        <v>57.586311831866652</v>
      </c>
      <c r="AD25" s="13">
        <f t="shared" si="26"/>
        <v>14.557412352817277</v>
      </c>
      <c r="AE25" s="12">
        <f t="shared" si="5"/>
        <v>72.143724184683933</v>
      </c>
      <c r="AF25" s="12">
        <f t="shared" si="27"/>
        <v>23.302422911652911</v>
      </c>
      <c r="AG25" s="14">
        <f t="shared" si="6"/>
        <v>1.3916613461551686</v>
      </c>
      <c r="AH25" s="15">
        <f t="shared" si="28"/>
        <v>0.44950661480811949</v>
      </c>
      <c r="AI25" s="67">
        <f t="shared" si="7"/>
        <v>1.2282881586766329E-2</v>
      </c>
    </row>
    <row r="26" spans="1:55" ht="14.25" customHeight="1" x14ac:dyDescent="0.35">
      <c r="A26" s="52" t="s">
        <v>468</v>
      </c>
      <c r="B26" s="56" t="s">
        <v>476</v>
      </c>
      <c r="C26" s="56">
        <f t="shared" si="8"/>
        <v>4</v>
      </c>
      <c r="D26" s="52" t="s">
        <v>64</v>
      </c>
      <c r="E26" s="18" t="s">
        <v>37</v>
      </c>
      <c r="F26" s="18" t="s">
        <v>38</v>
      </c>
      <c r="G26" s="17" t="s">
        <v>39</v>
      </c>
      <c r="H26" s="17" t="s">
        <v>40</v>
      </c>
      <c r="I26" s="69" t="s">
        <v>458</v>
      </c>
      <c r="J26" s="56">
        <v>4</v>
      </c>
      <c r="K26" s="56">
        <v>3</v>
      </c>
      <c r="L26" s="183" t="s">
        <v>464</v>
      </c>
      <c r="M26" s="53">
        <v>26</v>
      </c>
      <c r="N26" s="56">
        <v>9.6</v>
      </c>
      <c r="O26" s="70">
        <f t="shared" si="18"/>
        <v>249.6</v>
      </c>
      <c r="P26" s="57">
        <f t="shared" si="22"/>
        <v>405.7307291396873</v>
      </c>
      <c r="Q26" s="56">
        <f t="shared" ref="Q26" si="29">39*20*30/1000000</f>
        <v>2.3400000000000001E-2</v>
      </c>
      <c r="R26" s="20">
        <f t="shared" si="0"/>
        <v>410.25641025641022</v>
      </c>
      <c r="S26" s="53">
        <v>26</v>
      </c>
      <c r="T26" s="57">
        <f t="shared" si="24"/>
        <v>242.45970107580001</v>
      </c>
      <c r="U26" s="58">
        <f t="shared" si="1"/>
        <v>0.60840000000000005</v>
      </c>
      <c r="V26" s="56">
        <f>1.34*1.02</f>
        <v>1.3668</v>
      </c>
      <c r="W26" s="56">
        <v>0.95675999999999994</v>
      </c>
      <c r="X26" s="53">
        <v>14.21</v>
      </c>
      <c r="Y26" s="74">
        <f t="shared" si="2"/>
        <v>9.6185784658691056E-2</v>
      </c>
      <c r="Z26" s="74">
        <f t="shared" si="3"/>
        <v>0.63589614950457807</v>
      </c>
      <c r="AA26" s="53">
        <v>34.103999999999999</v>
      </c>
      <c r="AB26" s="24">
        <f t="shared" si="4"/>
        <v>2.8054187192118225E-2</v>
      </c>
      <c r="AC26" s="25">
        <f t="shared" si="25"/>
        <v>138.50246281613053</v>
      </c>
      <c r="AD26" s="26">
        <f t="shared" si="26"/>
        <v>35.012443043442573</v>
      </c>
      <c r="AE26" s="25">
        <f t="shared" si="5"/>
        <v>173.5149058595731</v>
      </c>
      <c r="AF26" s="25">
        <f t="shared" si="27"/>
        <v>56.045314592642114</v>
      </c>
      <c r="AG26" s="27">
        <f t="shared" si="6"/>
        <v>0.69517189847585381</v>
      </c>
      <c r="AH26" s="28">
        <f t="shared" si="28"/>
        <v>0.22454052320770079</v>
      </c>
      <c r="AI26" s="29">
        <f t="shared" si="7"/>
        <v>5.9139800232578629E-2</v>
      </c>
      <c r="AJ26" s="61">
        <f>0.074+0.00747</f>
        <v>8.1470000000000001E-2</v>
      </c>
      <c r="AK26" s="76">
        <f>0.0655+0.0237</f>
        <v>8.9200000000000002E-2</v>
      </c>
      <c r="AL26" s="31">
        <f>718150542*AK26/1448</f>
        <v>44239.660460220992</v>
      </c>
      <c r="AM26" s="31">
        <f>+AL26/52</f>
        <v>850.76270115809598</v>
      </c>
      <c r="AN26" s="32">
        <f>74813*AJ26*0.81</f>
        <v>4936.9622391000003</v>
      </c>
      <c r="AO26" s="33">
        <f>+AP26*AN26</f>
        <v>1594.6388032293</v>
      </c>
      <c r="AP26" s="34">
        <v>0.32300000000000001</v>
      </c>
      <c r="AQ26" s="35">
        <f>+AO26/AL26</f>
        <v>3.6045457551898544E-2</v>
      </c>
    </row>
    <row r="27" spans="1:55" ht="14.25" customHeight="1" x14ac:dyDescent="0.35">
      <c r="A27" t="s">
        <v>452</v>
      </c>
      <c r="B27" s="1" t="s">
        <v>476</v>
      </c>
      <c r="C27" s="1">
        <f t="shared" si="8"/>
        <v>3</v>
      </c>
      <c r="D27" s="189" t="s">
        <v>477</v>
      </c>
      <c r="E27" s="204" t="s">
        <v>48</v>
      </c>
      <c r="F27" s="188" t="s">
        <v>49</v>
      </c>
      <c r="G27" s="205" t="s">
        <v>50</v>
      </c>
      <c r="H27" s="205" t="s">
        <v>51</v>
      </c>
      <c r="I27" s="187" t="s">
        <v>68</v>
      </c>
      <c r="J27" s="188">
        <v>3</v>
      </c>
      <c r="K27" s="188">
        <v>3</v>
      </c>
      <c r="L27" s="188">
        <v>2</v>
      </c>
      <c r="M27" s="188">
        <v>4</v>
      </c>
      <c r="N27" s="190">
        <f>535*11/1000</f>
        <v>5.8849999999999998</v>
      </c>
      <c r="O27" s="178">
        <f t="shared" si="18"/>
        <v>23.54</v>
      </c>
      <c r="P27" s="39">
        <f t="shared" ref="P27:P35" si="30">+$AO$36*O27/SUM($O$27:$O$36)</f>
        <v>109.0854292494318</v>
      </c>
      <c r="Q27" s="188">
        <f>30*32*28.5/1000000</f>
        <v>2.7359999999999999E-2</v>
      </c>
      <c r="R27" s="64">
        <f t="shared" si="0"/>
        <v>215.09502923976609</v>
      </c>
      <c r="S27" s="188">
        <v>4</v>
      </c>
      <c r="T27" s="39">
        <f t="shared" ref="T27:T35" si="31">+$AO$36*S27/SUM($S$27:$S$36)</f>
        <v>100.07926271060869</v>
      </c>
      <c r="U27" s="44">
        <f t="shared" si="1"/>
        <v>0.10944</v>
      </c>
      <c r="V27" s="188">
        <f>30*32/10000</f>
        <v>9.6000000000000002E-2</v>
      </c>
      <c r="W27" s="188">
        <f>1.37*1.02*0.7/6</f>
        <v>0.16303000000000001</v>
      </c>
      <c r="X27" s="186">
        <v>14.21</v>
      </c>
      <c r="Y27" s="67">
        <f t="shared" si="2"/>
        <v>6.7558057705840958E-3</v>
      </c>
      <c r="Z27" s="46">
        <f t="shared" si="3"/>
        <v>0.67128749309942948</v>
      </c>
      <c r="AA27" s="186">
        <v>34.103999999999999</v>
      </c>
      <c r="AB27" s="11">
        <f t="shared" ref="AB27:AB36" si="32">+W27/AA27</f>
        <v>4.7803776683087032E-3</v>
      </c>
      <c r="AC27" s="12">
        <f t="shared" ref="AC27:AC36" si="33">+$AN$26*AB27</f>
        <v>23.600544037076975</v>
      </c>
      <c r="AD27" s="13">
        <f t="shared" si="26"/>
        <v>5.9660506180990458</v>
      </c>
      <c r="AE27" s="12">
        <f t="shared" ref="AE27:AE36" si="34">+AC27+AD27</f>
        <v>29.566594655176022</v>
      </c>
      <c r="AF27" s="12">
        <f t="shared" ref="AF27:AF36" si="35">+$AP$26*AE27</f>
        <v>9.5500100736218556</v>
      </c>
      <c r="AG27" s="14">
        <f t="shared" ref="AG27:AG36" si="36">+AE27/O27</f>
        <v>1.2560150660652516</v>
      </c>
      <c r="AH27" s="15">
        <f t="shared" ref="AH27:AH36" si="37">+AG27*$AP$26</f>
        <v>0.40569286633907625</v>
      </c>
      <c r="AI27" s="16">
        <f t="shared" ref="AI27:AI36" si="38">+O27/$O$1048576</f>
        <v>5.5775276341141862E-3</v>
      </c>
      <c r="AJ27" s="189"/>
      <c r="AK27" s="189"/>
      <c r="AL27" s="189"/>
      <c r="AM27" s="189"/>
      <c r="AN27" s="189"/>
      <c r="AO27" s="189"/>
      <c r="AP27" s="189"/>
      <c r="AQ27" s="189"/>
      <c r="AR27" s="189"/>
      <c r="AS27" s="189"/>
      <c r="AT27" s="189"/>
      <c r="AU27" s="189"/>
      <c r="AV27" s="189"/>
      <c r="AW27" s="189"/>
      <c r="AX27" s="189"/>
      <c r="AY27" s="189"/>
      <c r="AZ27" s="189"/>
      <c r="BA27" s="189"/>
      <c r="BB27" s="189"/>
      <c r="BC27" s="189"/>
    </row>
    <row r="28" spans="1:55" ht="14.25" customHeight="1" x14ac:dyDescent="0.35">
      <c r="A28" t="s">
        <v>452</v>
      </c>
      <c r="B28" s="1" t="s">
        <v>476</v>
      </c>
      <c r="C28" s="1">
        <v>3</v>
      </c>
      <c r="D28" t="s">
        <v>479</v>
      </c>
      <c r="E28" s="204" t="s">
        <v>48</v>
      </c>
      <c r="F28" s="1" t="s">
        <v>49</v>
      </c>
      <c r="G28" s="205" t="s">
        <v>50</v>
      </c>
      <c r="H28" s="205" t="s">
        <v>51</v>
      </c>
      <c r="I28" s="187" t="s">
        <v>68</v>
      </c>
      <c r="J28" s="1">
        <v>3</v>
      </c>
      <c r="K28" s="1">
        <v>3</v>
      </c>
      <c r="L28" s="1">
        <v>3</v>
      </c>
      <c r="M28" s="188">
        <v>4</v>
      </c>
      <c r="N28" s="188">
        <f>12*510/1000</f>
        <v>6.12</v>
      </c>
      <c r="O28" s="178">
        <f t="shared" si="18"/>
        <v>24.48</v>
      </c>
      <c r="P28" s="39">
        <f t="shared" si="30"/>
        <v>113.44143194673282</v>
      </c>
      <c r="Q28" s="188">
        <f t="shared" ref="Q28:Q31" si="39">30*32*28.5/1000000</f>
        <v>2.7359999999999999E-2</v>
      </c>
      <c r="R28" s="64">
        <f t="shared" si="0"/>
        <v>223.68421052631581</v>
      </c>
      <c r="S28" s="188">
        <v>4</v>
      </c>
      <c r="T28" s="39">
        <f t="shared" si="31"/>
        <v>100.07926271060869</v>
      </c>
      <c r="U28" s="44">
        <f t="shared" si="1"/>
        <v>0.10944</v>
      </c>
      <c r="V28" s="188">
        <f t="shared" ref="V28:V31" si="40">30*32/10000</f>
        <v>9.6000000000000002E-2</v>
      </c>
      <c r="W28" s="188">
        <f t="shared" ref="W28:W36" si="41">1.37*1.02*0.7/6</f>
        <v>0.16303000000000001</v>
      </c>
      <c r="X28" s="186">
        <v>14.21</v>
      </c>
      <c r="Y28" s="67">
        <f t="shared" si="2"/>
        <v>6.7558057705840958E-3</v>
      </c>
      <c r="Z28" s="46">
        <f t="shared" si="3"/>
        <v>0.67128749309942948</v>
      </c>
      <c r="AA28" s="188">
        <v>34.103999999999999</v>
      </c>
      <c r="AB28" s="66">
        <f t="shared" si="32"/>
        <v>4.7803776683087032E-3</v>
      </c>
      <c r="AC28" s="12">
        <f t="shared" si="33"/>
        <v>23.600544037076975</v>
      </c>
      <c r="AD28" s="13">
        <f t="shared" si="26"/>
        <v>5.9660506180990458</v>
      </c>
      <c r="AE28" s="12">
        <f t="shared" si="34"/>
        <v>29.566594655176022</v>
      </c>
      <c r="AF28" s="12">
        <f t="shared" si="35"/>
        <v>9.5500100736218556</v>
      </c>
      <c r="AG28" s="14">
        <f t="shared" si="36"/>
        <v>1.2077857293781054</v>
      </c>
      <c r="AH28" s="15">
        <f t="shared" si="37"/>
        <v>0.39011479058912801</v>
      </c>
      <c r="AI28" s="67">
        <f t="shared" si="38"/>
        <v>5.8002496381952115E-3</v>
      </c>
      <c r="AJ28" s="189"/>
      <c r="AK28" s="189"/>
      <c r="AL28" s="189"/>
      <c r="AM28" s="189"/>
      <c r="AN28" s="189"/>
      <c r="AO28" s="189"/>
      <c r="AP28" s="189"/>
      <c r="AQ28" s="189"/>
      <c r="AR28" s="189"/>
      <c r="AS28" s="189"/>
      <c r="AT28" s="189"/>
      <c r="AU28" s="189"/>
      <c r="AV28" s="189"/>
      <c r="AW28" s="189"/>
      <c r="AX28" s="189"/>
      <c r="AY28" s="189"/>
      <c r="AZ28" s="189"/>
      <c r="BA28" s="189"/>
      <c r="BB28" s="189"/>
      <c r="BC28" s="189"/>
    </row>
    <row r="29" spans="1:55" ht="14.25" customHeight="1" x14ac:dyDescent="0.35">
      <c r="A29" t="s">
        <v>452</v>
      </c>
      <c r="B29" s="1" t="s">
        <v>476</v>
      </c>
      <c r="C29" s="1">
        <v>3</v>
      </c>
      <c r="D29" t="s">
        <v>485</v>
      </c>
      <c r="E29" s="204" t="s">
        <v>48</v>
      </c>
      <c r="F29" s="1" t="s">
        <v>49</v>
      </c>
      <c r="G29" s="205" t="s">
        <v>50</v>
      </c>
      <c r="H29" s="205" t="s">
        <v>51</v>
      </c>
      <c r="I29" s="187" t="s">
        <v>68</v>
      </c>
      <c r="J29" s="1">
        <v>3</v>
      </c>
      <c r="K29" s="1">
        <v>3</v>
      </c>
      <c r="L29" s="1">
        <v>5</v>
      </c>
      <c r="M29" s="188">
        <v>2</v>
      </c>
      <c r="N29" s="188">
        <f>8*665/1000</f>
        <v>5.32</v>
      </c>
      <c r="O29" s="178">
        <f t="shared" si="18"/>
        <v>10.64</v>
      </c>
      <c r="P29" s="39">
        <f t="shared" si="30"/>
        <v>49.306243297109368</v>
      </c>
      <c r="Q29" s="188">
        <f t="shared" si="39"/>
        <v>2.7359999999999999E-2</v>
      </c>
      <c r="R29" s="64">
        <f t="shared" si="0"/>
        <v>194.44444444444446</v>
      </c>
      <c r="S29" s="188">
        <v>2</v>
      </c>
      <c r="T29" s="39">
        <f t="shared" si="31"/>
        <v>50.039631355304344</v>
      </c>
      <c r="U29" s="44">
        <f t="shared" si="1"/>
        <v>5.4719999999999998E-2</v>
      </c>
      <c r="V29" s="188">
        <f t="shared" si="40"/>
        <v>9.6000000000000002E-2</v>
      </c>
      <c r="W29" s="188">
        <f t="shared" si="41"/>
        <v>0.16303000000000001</v>
      </c>
      <c r="X29" s="186">
        <v>14.21</v>
      </c>
      <c r="Y29" s="67">
        <f t="shared" si="2"/>
        <v>6.7558057705840958E-3</v>
      </c>
      <c r="Z29" s="46">
        <f t="shared" si="3"/>
        <v>0.33564374654971474</v>
      </c>
      <c r="AA29" s="188">
        <v>34.103999999999999</v>
      </c>
      <c r="AB29" s="66">
        <f t="shared" si="32"/>
        <v>4.7803776683087032E-3</v>
      </c>
      <c r="AC29" s="12">
        <f t="shared" si="33"/>
        <v>23.600544037076975</v>
      </c>
      <c r="AD29" s="13">
        <f t="shared" si="26"/>
        <v>5.9660506180990458</v>
      </c>
      <c r="AE29" s="12">
        <f t="shared" si="34"/>
        <v>29.566594655176022</v>
      </c>
      <c r="AF29" s="12">
        <f t="shared" si="35"/>
        <v>9.5500100736218556</v>
      </c>
      <c r="AG29" s="14">
        <f t="shared" si="36"/>
        <v>2.7788152871406036</v>
      </c>
      <c r="AH29" s="15">
        <f t="shared" si="37"/>
        <v>0.897557337746415</v>
      </c>
      <c r="AI29" s="67">
        <f t="shared" si="38"/>
        <v>2.5210235355554353E-3</v>
      </c>
      <c r="AJ29" s="189"/>
      <c r="AK29" s="189"/>
      <c r="AL29" s="189"/>
      <c r="AM29" s="189"/>
      <c r="AN29" s="189"/>
      <c r="AO29" s="189"/>
      <c r="AP29" s="189"/>
      <c r="AQ29" s="189"/>
      <c r="AR29" s="189"/>
      <c r="AS29" s="189"/>
      <c r="AT29" s="189"/>
      <c r="AU29" s="189"/>
      <c r="AV29" s="189"/>
      <c r="AW29" s="189"/>
      <c r="AX29" s="189"/>
      <c r="AY29" s="189"/>
      <c r="AZ29" s="189"/>
      <c r="BA29" s="189"/>
      <c r="BB29" s="189"/>
      <c r="BC29" s="189"/>
    </row>
    <row r="30" spans="1:55" ht="14.25" customHeight="1" x14ac:dyDescent="0.35">
      <c r="A30" t="s">
        <v>452</v>
      </c>
      <c r="B30" s="1" t="s">
        <v>476</v>
      </c>
      <c r="C30" s="1">
        <v>3</v>
      </c>
      <c r="D30" t="s">
        <v>486</v>
      </c>
      <c r="E30" s="204" t="s">
        <v>48</v>
      </c>
      <c r="F30" s="1" t="s">
        <v>49</v>
      </c>
      <c r="G30" s="205" t="s">
        <v>50</v>
      </c>
      <c r="H30" s="205" t="s">
        <v>51</v>
      </c>
      <c r="I30" s="187" t="s">
        <v>68</v>
      </c>
      <c r="J30" s="1">
        <v>3</v>
      </c>
      <c r="K30" s="1">
        <v>3</v>
      </c>
      <c r="L30" s="1">
        <v>5</v>
      </c>
      <c r="M30" s="188">
        <v>2</v>
      </c>
      <c r="N30" s="188">
        <f>11*540/1000</f>
        <v>5.94</v>
      </c>
      <c r="O30" s="178">
        <f t="shared" si="18"/>
        <v>11.88</v>
      </c>
      <c r="P30" s="39">
        <f t="shared" si="30"/>
        <v>55.052459621208584</v>
      </c>
      <c r="Q30" s="188">
        <f t="shared" si="39"/>
        <v>2.7359999999999999E-2</v>
      </c>
      <c r="R30" s="64">
        <f t="shared" si="0"/>
        <v>217.10526315789477</v>
      </c>
      <c r="S30" s="188">
        <v>2</v>
      </c>
      <c r="T30" s="39">
        <f t="shared" si="31"/>
        <v>50.039631355304344</v>
      </c>
      <c r="U30" s="44">
        <f t="shared" si="1"/>
        <v>5.4719999999999998E-2</v>
      </c>
      <c r="V30" s="188">
        <f t="shared" si="40"/>
        <v>9.6000000000000002E-2</v>
      </c>
      <c r="W30" s="188">
        <f t="shared" si="41"/>
        <v>0.16303000000000001</v>
      </c>
      <c r="X30" s="186">
        <v>14.21</v>
      </c>
      <c r="Y30" s="67">
        <f t="shared" si="2"/>
        <v>6.7558057705840958E-3</v>
      </c>
      <c r="Z30" s="46">
        <f t="shared" si="3"/>
        <v>0.33564374654971474</v>
      </c>
      <c r="AA30" s="188">
        <v>34.103999999999999</v>
      </c>
      <c r="AB30" s="66">
        <f t="shared" si="32"/>
        <v>4.7803776683087032E-3</v>
      </c>
      <c r="AC30" s="12">
        <f t="shared" si="33"/>
        <v>23.600544037076975</v>
      </c>
      <c r="AD30" s="13">
        <f t="shared" si="26"/>
        <v>5.9660506180990458</v>
      </c>
      <c r="AE30" s="12">
        <f t="shared" si="34"/>
        <v>29.566594655176022</v>
      </c>
      <c r="AF30" s="12">
        <f t="shared" si="35"/>
        <v>9.5500100736218556</v>
      </c>
      <c r="AG30" s="14">
        <f t="shared" si="36"/>
        <v>2.4887705938700355</v>
      </c>
      <c r="AH30" s="15">
        <f t="shared" si="37"/>
        <v>0.80387290182002147</v>
      </c>
      <c r="AI30" s="67">
        <f t="shared" si="38"/>
        <v>2.8148270303006177E-3</v>
      </c>
      <c r="AJ30" s="189"/>
      <c r="AK30" s="189"/>
      <c r="AL30" s="189"/>
      <c r="AM30" s="189"/>
      <c r="AN30" s="189"/>
      <c r="AO30" s="189"/>
      <c r="AP30" s="189"/>
      <c r="AQ30" s="189"/>
      <c r="AR30" s="189"/>
      <c r="AS30" s="189"/>
      <c r="AT30" s="189"/>
      <c r="AU30" s="189"/>
      <c r="AV30" s="189"/>
      <c r="AW30" s="189"/>
      <c r="AX30" s="189"/>
      <c r="AY30" s="189"/>
      <c r="AZ30" s="189"/>
      <c r="BA30" s="189"/>
      <c r="BB30" s="189"/>
      <c r="BC30" s="189"/>
    </row>
    <row r="31" spans="1:55" x14ac:dyDescent="0.35">
      <c r="A31" t="s">
        <v>452</v>
      </c>
      <c r="B31" s="1" t="s">
        <v>476</v>
      </c>
      <c r="C31" s="1">
        <v>3</v>
      </c>
      <c r="D31" t="s">
        <v>478</v>
      </c>
      <c r="E31" s="204" t="s">
        <v>48</v>
      </c>
      <c r="F31" s="1" t="s">
        <v>49</v>
      </c>
      <c r="G31" s="205" t="s">
        <v>50</v>
      </c>
      <c r="H31" s="205" t="s">
        <v>51</v>
      </c>
      <c r="I31" s="187" t="s">
        <v>68</v>
      </c>
      <c r="J31" s="1">
        <v>3</v>
      </c>
      <c r="K31" s="1">
        <v>3</v>
      </c>
      <c r="L31" s="1">
        <v>6</v>
      </c>
      <c r="M31" s="188">
        <v>2</v>
      </c>
      <c r="N31" s="188">
        <f>12*530/1000</f>
        <v>6.36</v>
      </c>
      <c r="O31" s="178">
        <f t="shared" si="18"/>
        <v>12.72</v>
      </c>
      <c r="P31" s="39">
        <f t="shared" si="30"/>
        <v>58.94505777624353</v>
      </c>
      <c r="Q31" s="188">
        <f t="shared" si="39"/>
        <v>2.7359999999999999E-2</v>
      </c>
      <c r="R31" s="64">
        <f t="shared" si="0"/>
        <v>232.45614035087721</v>
      </c>
      <c r="S31" s="188">
        <v>2</v>
      </c>
      <c r="T31" s="39">
        <f t="shared" si="31"/>
        <v>50.039631355304344</v>
      </c>
      <c r="U31" s="44">
        <f t="shared" si="1"/>
        <v>5.4719999999999998E-2</v>
      </c>
      <c r="V31" s="188">
        <f t="shared" si="40"/>
        <v>9.6000000000000002E-2</v>
      </c>
      <c r="W31" s="188">
        <f t="shared" si="41"/>
        <v>0.16303000000000001</v>
      </c>
      <c r="X31" s="186">
        <v>14.21</v>
      </c>
      <c r="Y31" s="67">
        <f t="shared" si="2"/>
        <v>6.7558057705840958E-3</v>
      </c>
      <c r="Z31" s="46">
        <f t="shared" si="3"/>
        <v>0.33564374654971474</v>
      </c>
      <c r="AA31" s="188">
        <v>34.103999999999999</v>
      </c>
      <c r="AB31" s="66">
        <f t="shared" si="32"/>
        <v>4.7803776683087032E-3</v>
      </c>
      <c r="AC31" s="12">
        <f t="shared" si="33"/>
        <v>23.600544037076975</v>
      </c>
      <c r="AD31" s="13">
        <f t="shared" si="26"/>
        <v>5.9660506180990458</v>
      </c>
      <c r="AE31" s="12">
        <f t="shared" si="34"/>
        <v>29.566594655176022</v>
      </c>
      <c r="AF31" s="12">
        <f t="shared" si="35"/>
        <v>9.5500100736218556</v>
      </c>
      <c r="AG31" s="14">
        <f t="shared" si="36"/>
        <v>2.3244178188031461</v>
      </c>
      <c r="AH31" s="15">
        <f t="shared" si="37"/>
        <v>0.75078695547341623</v>
      </c>
      <c r="AI31" s="67">
        <f t="shared" si="38"/>
        <v>3.013855204160257E-3</v>
      </c>
      <c r="AJ31" s="189"/>
      <c r="AK31" s="189"/>
      <c r="AL31" s="189"/>
      <c r="AM31" s="189"/>
      <c r="AN31" s="189"/>
      <c r="AO31" s="189"/>
      <c r="AP31" s="189"/>
      <c r="AQ31" s="189"/>
      <c r="AR31" s="189"/>
      <c r="AS31" s="189"/>
      <c r="AT31" s="189"/>
      <c r="AU31" s="189"/>
      <c r="AV31" s="189"/>
      <c r="AW31" s="189"/>
      <c r="AX31" s="189"/>
      <c r="AY31" s="189"/>
      <c r="AZ31" s="189"/>
      <c r="BA31" s="189"/>
      <c r="BB31" s="189"/>
      <c r="BC31" s="189"/>
    </row>
    <row r="32" spans="1:55" x14ac:dyDescent="0.35">
      <c r="A32" t="s">
        <v>452</v>
      </c>
      <c r="B32" s="1" t="s">
        <v>476</v>
      </c>
      <c r="C32" s="1">
        <v>3</v>
      </c>
      <c r="D32" t="s">
        <v>481</v>
      </c>
      <c r="E32" s="204" t="s">
        <v>48</v>
      </c>
      <c r="F32" s="1" t="s">
        <v>49</v>
      </c>
      <c r="G32" s="205" t="s">
        <v>50</v>
      </c>
      <c r="H32" s="205" t="s">
        <v>51</v>
      </c>
      <c r="I32" s="187" t="s">
        <v>68</v>
      </c>
      <c r="J32" s="1">
        <v>3</v>
      </c>
      <c r="K32" s="1">
        <v>3</v>
      </c>
      <c r="L32" s="1">
        <v>4</v>
      </c>
      <c r="M32" s="188">
        <v>1</v>
      </c>
      <c r="N32" s="188">
        <f>20*180/1000</f>
        <v>3.6</v>
      </c>
      <c r="O32" s="178">
        <f t="shared" si="18"/>
        <v>3.6</v>
      </c>
      <c r="P32" s="39">
        <f t="shared" si="30"/>
        <v>16.682563521578359</v>
      </c>
      <c r="Q32" s="188">
        <f>25*39.5*23/1000000</f>
        <v>2.27125E-2</v>
      </c>
      <c r="R32" s="64">
        <f t="shared" si="0"/>
        <v>158.50302696752891</v>
      </c>
      <c r="S32" s="188">
        <v>1</v>
      </c>
      <c r="T32" s="39">
        <f t="shared" si="31"/>
        <v>25.019815677652172</v>
      </c>
      <c r="U32" s="44">
        <f t="shared" si="1"/>
        <v>2.27125E-2</v>
      </c>
      <c r="V32" s="188">
        <f>25*39.5/10000</f>
        <v>9.8750000000000004E-2</v>
      </c>
      <c r="W32" s="188">
        <f t="shared" si="41"/>
        <v>0.16303000000000001</v>
      </c>
      <c r="X32" s="186">
        <v>14.21</v>
      </c>
      <c r="Y32" s="67">
        <f t="shared" si="2"/>
        <v>6.9493314567206192E-3</v>
      </c>
      <c r="Z32" s="46">
        <f t="shared" si="3"/>
        <v>0.13931485002760227</v>
      </c>
      <c r="AA32" s="188">
        <v>34.103999999999999</v>
      </c>
      <c r="AB32" s="66">
        <f t="shared" si="32"/>
        <v>4.7803776683087032E-3</v>
      </c>
      <c r="AC32" s="12">
        <f t="shared" si="33"/>
        <v>23.600544037076975</v>
      </c>
      <c r="AD32" s="13">
        <f t="shared" si="26"/>
        <v>5.9660506180990458</v>
      </c>
      <c r="AE32" s="12">
        <f t="shared" si="34"/>
        <v>29.566594655176022</v>
      </c>
      <c r="AF32" s="12">
        <f t="shared" si="35"/>
        <v>9.5500100736218556</v>
      </c>
      <c r="AG32" s="14">
        <f t="shared" si="36"/>
        <v>8.2129429597711177</v>
      </c>
      <c r="AH32" s="15">
        <f t="shared" si="37"/>
        <v>2.6527805760060712</v>
      </c>
      <c r="AI32" s="67">
        <f t="shared" si="38"/>
        <v>8.5297788796988403E-4</v>
      </c>
      <c r="AJ32" s="189"/>
      <c r="AK32" s="189"/>
      <c r="AL32" s="189"/>
      <c r="AM32" s="189"/>
      <c r="AN32" s="189"/>
      <c r="AO32" s="189"/>
      <c r="AP32" s="189"/>
      <c r="AQ32" s="189"/>
      <c r="AR32" s="189"/>
      <c r="AS32" s="189"/>
      <c r="AT32" s="189"/>
      <c r="AU32" s="189"/>
      <c r="AV32" s="189"/>
      <c r="AW32" s="189"/>
      <c r="AX32" s="189"/>
      <c r="AY32" s="189"/>
      <c r="AZ32" s="189"/>
      <c r="BA32" s="189"/>
      <c r="BB32" s="189"/>
      <c r="BC32" s="189"/>
    </row>
    <row r="33" spans="1:55" x14ac:dyDescent="0.35">
      <c r="A33" t="s">
        <v>452</v>
      </c>
      <c r="B33" s="1" t="s">
        <v>476</v>
      </c>
      <c r="C33" s="1">
        <v>3</v>
      </c>
      <c r="D33" t="s">
        <v>482</v>
      </c>
      <c r="E33" s="204" t="s">
        <v>48</v>
      </c>
      <c r="F33" s="1" t="s">
        <v>487</v>
      </c>
      <c r="G33" s="205" t="s">
        <v>50</v>
      </c>
      <c r="H33" s="205" t="s">
        <v>51</v>
      </c>
      <c r="I33" s="187" t="s">
        <v>68</v>
      </c>
      <c r="J33" s="1">
        <v>3</v>
      </c>
      <c r="K33" s="1">
        <v>3</v>
      </c>
      <c r="L33" s="1">
        <v>4</v>
      </c>
      <c r="M33" s="188">
        <v>2</v>
      </c>
      <c r="N33" s="188">
        <f>16*380/1000</f>
        <v>6.08</v>
      </c>
      <c r="O33" s="178">
        <f t="shared" si="18"/>
        <v>12.16</v>
      </c>
      <c r="P33" s="39">
        <f t="shared" si="30"/>
        <v>56.349992339553559</v>
      </c>
      <c r="Q33" s="188">
        <f t="shared" ref="Q33:Q34" si="42">25*39.5*23/1000000</f>
        <v>2.27125E-2</v>
      </c>
      <c r="R33" s="64">
        <f t="shared" si="0"/>
        <v>267.69400110071547</v>
      </c>
      <c r="S33" s="188">
        <v>2</v>
      </c>
      <c r="T33" s="39">
        <f t="shared" si="31"/>
        <v>50.039631355304344</v>
      </c>
      <c r="U33" s="44">
        <f t="shared" si="1"/>
        <v>4.5425E-2</v>
      </c>
      <c r="V33" s="188">
        <f t="shared" ref="V33:V34" si="43">25*39.5/10000</f>
        <v>9.8750000000000004E-2</v>
      </c>
      <c r="W33" s="188">
        <f t="shared" si="41"/>
        <v>0.16303000000000001</v>
      </c>
      <c r="X33" s="186">
        <v>14.21</v>
      </c>
      <c r="Y33" s="67">
        <f t="shared" si="2"/>
        <v>6.9493314567206192E-3</v>
      </c>
      <c r="Z33" s="46">
        <f t="shared" si="3"/>
        <v>0.27862970005520454</v>
      </c>
      <c r="AA33" s="188">
        <v>34.103999999999999</v>
      </c>
      <c r="AB33" s="66">
        <f t="shared" si="32"/>
        <v>4.7803776683087032E-3</v>
      </c>
      <c r="AC33" s="12">
        <f t="shared" si="33"/>
        <v>23.600544037076975</v>
      </c>
      <c r="AD33" s="13">
        <f t="shared" si="26"/>
        <v>5.9660506180990458</v>
      </c>
      <c r="AE33" s="12">
        <f t="shared" si="34"/>
        <v>29.566594655176022</v>
      </c>
      <c r="AF33" s="12">
        <f t="shared" si="35"/>
        <v>9.5500100736218556</v>
      </c>
      <c r="AG33" s="14">
        <f t="shared" si="36"/>
        <v>2.4314633762480282</v>
      </c>
      <c r="AH33" s="15">
        <f t="shared" si="37"/>
        <v>0.78536267052811315</v>
      </c>
      <c r="AI33" s="67">
        <f t="shared" si="38"/>
        <v>2.8811697549204975E-3</v>
      </c>
      <c r="AJ33" s="189"/>
      <c r="AK33" s="189"/>
      <c r="AL33" s="189"/>
      <c r="AM33" s="189"/>
      <c r="AN33" s="189"/>
      <c r="AO33" s="189"/>
      <c r="AP33" s="189"/>
      <c r="AQ33" s="189"/>
      <c r="AR33" s="189"/>
      <c r="AS33" s="189"/>
      <c r="AT33" s="189"/>
      <c r="AU33" s="189"/>
      <c r="AV33" s="189"/>
      <c r="AW33" s="189"/>
      <c r="AX33" s="189"/>
      <c r="AY33" s="189"/>
      <c r="AZ33" s="189"/>
      <c r="BA33" s="189"/>
      <c r="BB33" s="189"/>
      <c r="BC33" s="189"/>
    </row>
    <row r="34" spans="1:55" x14ac:dyDescent="0.35">
      <c r="A34" t="s">
        <v>452</v>
      </c>
      <c r="B34" s="1" t="s">
        <v>476</v>
      </c>
      <c r="C34" s="1">
        <v>3</v>
      </c>
      <c r="D34" t="s">
        <v>483</v>
      </c>
      <c r="E34" s="204" t="s">
        <v>48</v>
      </c>
      <c r="F34" s="1" t="s">
        <v>487</v>
      </c>
      <c r="G34" s="205" t="s">
        <v>50</v>
      </c>
      <c r="H34" s="205" t="s">
        <v>51</v>
      </c>
      <c r="I34" s="187" t="s">
        <v>68</v>
      </c>
      <c r="J34" s="1">
        <v>3</v>
      </c>
      <c r="K34" s="1">
        <v>3</v>
      </c>
      <c r="L34" s="1">
        <v>4</v>
      </c>
      <c r="M34" s="188">
        <v>1</v>
      </c>
      <c r="N34" s="188">
        <f>16*380/1000</f>
        <v>6.08</v>
      </c>
      <c r="O34" s="178">
        <f t="shared" si="18"/>
        <v>6.08</v>
      </c>
      <c r="P34" s="39">
        <f t="shared" si="30"/>
        <v>28.174996169776779</v>
      </c>
      <c r="Q34" s="188">
        <f t="shared" si="42"/>
        <v>2.27125E-2</v>
      </c>
      <c r="R34" s="64">
        <f t="shared" si="0"/>
        <v>267.69400110071547</v>
      </c>
      <c r="S34" s="188">
        <v>1</v>
      </c>
      <c r="T34" s="39">
        <f t="shared" si="31"/>
        <v>25.019815677652172</v>
      </c>
      <c r="U34" s="44">
        <f t="shared" si="1"/>
        <v>2.27125E-2</v>
      </c>
      <c r="V34" s="188">
        <f t="shared" si="43"/>
        <v>9.8750000000000004E-2</v>
      </c>
      <c r="W34" s="188">
        <f t="shared" si="41"/>
        <v>0.16303000000000001</v>
      </c>
      <c r="X34" s="186">
        <v>14.21</v>
      </c>
      <c r="Y34" s="67">
        <f t="shared" si="2"/>
        <v>6.9493314567206192E-3</v>
      </c>
      <c r="Z34" s="46">
        <f t="shared" si="3"/>
        <v>0.13931485002760227</v>
      </c>
      <c r="AA34" s="188">
        <v>34.103999999999999</v>
      </c>
      <c r="AB34" s="66">
        <f t="shared" si="32"/>
        <v>4.7803776683087032E-3</v>
      </c>
      <c r="AC34" s="12">
        <f t="shared" si="33"/>
        <v>23.600544037076975</v>
      </c>
      <c r="AD34" s="13">
        <f t="shared" si="26"/>
        <v>5.9660506180990458</v>
      </c>
      <c r="AE34" s="12">
        <f t="shared" si="34"/>
        <v>29.566594655176022</v>
      </c>
      <c r="AF34" s="12">
        <f t="shared" si="35"/>
        <v>9.5500100736218556</v>
      </c>
      <c r="AG34" s="14">
        <f t="shared" si="36"/>
        <v>4.8629267524960564</v>
      </c>
      <c r="AH34" s="15">
        <f t="shared" si="37"/>
        <v>1.5707253410562263</v>
      </c>
      <c r="AI34" s="67">
        <f t="shared" si="38"/>
        <v>1.4405848774602487E-3</v>
      </c>
      <c r="AJ34" s="189"/>
      <c r="AK34" s="189"/>
      <c r="AL34" s="189"/>
      <c r="AM34" s="189"/>
      <c r="AN34" s="189"/>
      <c r="AO34" s="189"/>
      <c r="AP34" s="189"/>
      <c r="AQ34" s="189"/>
      <c r="AR34" s="189"/>
      <c r="AS34" s="189"/>
      <c r="AT34" s="189"/>
      <c r="AU34" s="189"/>
      <c r="AV34" s="189"/>
      <c r="AW34" s="189"/>
      <c r="AX34" s="189"/>
      <c r="AY34" s="189"/>
      <c r="AZ34" s="189"/>
      <c r="BA34" s="189"/>
      <c r="BB34" s="189"/>
      <c r="BC34" s="189"/>
    </row>
    <row r="35" spans="1:55" x14ac:dyDescent="0.35">
      <c r="A35" t="s">
        <v>452</v>
      </c>
      <c r="B35" s="1" t="s">
        <v>476</v>
      </c>
      <c r="C35" s="1">
        <v>3</v>
      </c>
      <c r="D35" t="s">
        <v>484</v>
      </c>
      <c r="E35" s="204" t="s">
        <v>48</v>
      </c>
      <c r="F35" s="1" t="s">
        <v>487</v>
      </c>
      <c r="G35" s="205" t="s">
        <v>50</v>
      </c>
      <c r="H35" s="205" t="s">
        <v>51</v>
      </c>
      <c r="I35" s="187" t="s">
        <v>68</v>
      </c>
      <c r="J35" s="1">
        <v>3</v>
      </c>
      <c r="K35" s="1">
        <v>3</v>
      </c>
      <c r="L35" s="1">
        <v>1</v>
      </c>
      <c r="M35" s="188">
        <v>2</v>
      </c>
      <c r="N35" s="188">
        <f>18*320/1000</f>
        <v>5.76</v>
      </c>
      <c r="O35" s="178">
        <f t="shared" si="18"/>
        <v>11.52</v>
      </c>
      <c r="P35" s="39">
        <f t="shared" si="30"/>
        <v>53.384203269050737</v>
      </c>
      <c r="Q35" s="188">
        <f>51*34.5*14/1000000</f>
        <v>2.4632999999999999E-2</v>
      </c>
      <c r="R35" s="64">
        <f>+N35/Q35</f>
        <v>233.83266350018269</v>
      </c>
      <c r="S35" s="188">
        <v>2</v>
      </c>
      <c r="T35" s="39">
        <f t="shared" si="31"/>
        <v>50.039631355304344</v>
      </c>
      <c r="U35" s="44">
        <f>+Q35*S35</f>
        <v>4.9265999999999997E-2</v>
      </c>
      <c r="V35" s="188">
        <f>51*34.5/10000</f>
        <v>0.17595</v>
      </c>
      <c r="W35" s="188">
        <f t="shared" si="41"/>
        <v>0.16303000000000001</v>
      </c>
      <c r="X35" s="186">
        <v>14.21</v>
      </c>
      <c r="Y35" s="67">
        <f t="shared" si="2"/>
        <v>1.2382125263898662E-2</v>
      </c>
      <c r="Z35" s="46">
        <f t="shared" si="3"/>
        <v>0.30218978102189775</v>
      </c>
      <c r="AA35" s="188">
        <v>34.103999999999999</v>
      </c>
      <c r="AB35" s="66">
        <f t="shared" si="32"/>
        <v>4.7803776683087032E-3</v>
      </c>
      <c r="AC35" s="12">
        <f t="shared" si="33"/>
        <v>23.600544037076975</v>
      </c>
      <c r="AD35" s="13">
        <f t="shared" si="26"/>
        <v>5.9660506180990458</v>
      </c>
      <c r="AE35" s="12">
        <f t="shared" si="34"/>
        <v>29.566594655176022</v>
      </c>
      <c r="AF35" s="12">
        <f t="shared" si="35"/>
        <v>9.5500100736218556</v>
      </c>
      <c r="AG35" s="14">
        <f t="shared" si="36"/>
        <v>2.5665446749284744</v>
      </c>
      <c r="AH35" s="15">
        <f t="shared" si="37"/>
        <v>0.82899393000189725</v>
      </c>
      <c r="AI35" s="67">
        <f t="shared" si="38"/>
        <v>2.7295292415036288E-3</v>
      </c>
      <c r="AJ35" s="189"/>
      <c r="AK35" s="189"/>
      <c r="AL35" s="189"/>
      <c r="AM35" s="189"/>
      <c r="AN35" s="189"/>
      <c r="AO35" s="189"/>
      <c r="AP35" s="189"/>
      <c r="AQ35" s="189"/>
      <c r="AR35" s="189"/>
      <c r="AS35" s="189"/>
      <c r="AT35" s="189"/>
      <c r="AU35" s="189"/>
      <c r="AV35" s="189"/>
      <c r="AW35" s="189"/>
      <c r="AX35" s="189"/>
      <c r="AY35" s="189"/>
      <c r="AZ35" s="189"/>
      <c r="BA35" s="189"/>
      <c r="BB35" s="189"/>
      <c r="BC35" s="189"/>
    </row>
    <row r="36" spans="1:55" x14ac:dyDescent="0.35">
      <c r="A36" s="52" t="s">
        <v>488</v>
      </c>
      <c r="B36" s="56" t="s">
        <v>476</v>
      </c>
      <c r="C36" s="56">
        <v>3</v>
      </c>
      <c r="D36" s="52" t="s">
        <v>480</v>
      </c>
      <c r="E36" s="56" t="s">
        <v>48</v>
      </c>
      <c r="F36" s="56" t="s">
        <v>487</v>
      </c>
      <c r="G36" s="52" t="s">
        <v>50</v>
      </c>
      <c r="H36" s="52" t="s">
        <v>51</v>
      </c>
      <c r="I36" s="191" t="s">
        <v>68</v>
      </c>
      <c r="J36" s="56">
        <v>3</v>
      </c>
      <c r="K36" s="56">
        <v>3</v>
      </c>
      <c r="L36" s="56">
        <v>6</v>
      </c>
      <c r="M36" s="192">
        <v>3</v>
      </c>
      <c r="N36" s="192">
        <f>12*210/1000</f>
        <v>2.52</v>
      </c>
      <c r="O36" s="70">
        <f t="shared" si="18"/>
        <v>7.5600000000000005</v>
      </c>
      <c r="P36" s="57">
        <f>+$AO$36*O36/SUM($O$27:$O$36)</f>
        <v>35.033383395314551</v>
      </c>
      <c r="Q36" s="192">
        <f>19*28.5*14/1000000</f>
        <v>7.5810000000000001E-3</v>
      </c>
      <c r="R36" s="193">
        <f>+N36/Q36</f>
        <v>332.409972299169</v>
      </c>
      <c r="S36" s="192">
        <v>3</v>
      </c>
      <c r="T36" s="57">
        <f>+$AO$36*S36/SUM($S$27:$S$36)</f>
        <v>75.059447032956527</v>
      </c>
      <c r="U36" s="58">
        <f>+Q36*S36</f>
        <v>2.2742999999999999E-2</v>
      </c>
      <c r="V36" s="192">
        <f>19*28.5/10000</f>
        <v>5.4149999999999997E-2</v>
      </c>
      <c r="W36" s="192">
        <f t="shared" si="41"/>
        <v>0.16303000000000001</v>
      </c>
      <c r="X36" s="194">
        <v>14.21</v>
      </c>
      <c r="Y36" s="195">
        <f t="shared" si="2"/>
        <v>3.810696692470091E-3</v>
      </c>
      <c r="Z36" s="74">
        <f t="shared" si="3"/>
        <v>0.1395019321597252</v>
      </c>
      <c r="AA36" s="192">
        <v>34.103999999999999</v>
      </c>
      <c r="AB36" s="24">
        <f t="shared" si="32"/>
        <v>4.7803776683087032E-3</v>
      </c>
      <c r="AC36" s="25">
        <f t="shared" si="33"/>
        <v>23.600544037076975</v>
      </c>
      <c r="AD36" s="26">
        <f t="shared" si="26"/>
        <v>5.9660506180990458</v>
      </c>
      <c r="AE36" s="25">
        <f t="shared" si="34"/>
        <v>29.566594655176022</v>
      </c>
      <c r="AF36" s="25">
        <f t="shared" si="35"/>
        <v>9.5500100736218556</v>
      </c>
      <c r="AG36" s="27">
        <f t="shared" si="36"/>
        <v>3.910925218938627</v>
      </c>
      <c r="AH36" s="28">
        <f t="shared" si="37"/>
        <v>1.2632288457171765</v>
      </c>
      <c r="AI36" s="29">
        <f t="shared" si="38"/>
        <v>1.7912535647367565E-3</v>
      </c>
      <c r="AJ36" s="203">
        <v>2.9399999999999999E-2</v>
      </c>
      <c r="AK36" s="202">
        <v>1.6799999999999999E-2</v>
      </c>
      <c r="AL36" s="31">
        <f>718150542*AK36/1448</f>
        <v>8332.1333602209943</v>
      </c>
      <c r="AM36" s="31">
        <f>+AL36/52</f>
        <v>160.23333385040374</v>
      </c>
      <c r="AN36" s="32">
        <f>74813*AJ36*0.81</f>
        <v>1781.5967820000001</v>
      </c>
      <c r="AO36" s="33">
        <f>+AP36*AN36</f>
        <v>575.455760586</v>
      </c>
      <c r="AP36" s="34">
        <v>0.32300000000000001</v>
      </c>
      <c r="AQ36" s="35">
        <f>+AO36/AL36</f>
        <v>6.9064636355116754E-2</v>
      </c>
      <c r="AR36" s="189"/>
      <c r="AS36" s="189"/>
      <c r="AT36" s="189"/>
      <c r="AU36" s="189"/>
      <c r="AV36" s="189"/>
      <c r="AW36" s="189"/>
      <c r="AX36" s="189"/>
      <c r="AY36" s="189"/>
      <c r="AZ36" s="189"/>
      <c r="BA36" s="189"/>
      <c r="BB36" s="189"/>
      <c r="BC36" s="189"/>
    </row>
    <row r="37" spans="1:55" x14ac:dyDescent="0.35">
      <c r="C37" s="1"/>
      <c r="M37" s="189"/>
      <c r="N37" s="189"/>
      <c r="O37" s="189"/>
      <c r="P37" s="189"/>
      <c r="Q37" s="189"/>
      <c r="R37" s="189"/>
      <c r="S37" s="189"/>
      <c r="T37" s="189"/>
      <c r="U37" s="189"/>
      <c r="V37" s="189"/>
      <c r="W37" s="189"/>
      <c r="X37" s="189"/>
      <c r="Y37" s="189"/>
      <c r="Z37" s="189"/>
      <c r="AA37" s="189"/>
      <c r="AB37" s="189"/>
      <c r="AC37" s="188"/>
      <c r="AD37" s="189"/>
      <c r="AE37" s="189"/>
      <c r="AF37" s="189"/>
      <c r="AG37" s="189"/>
      <c r="AH37" s="189"/>
      <c r="AI37" s="189"/>
      <c r="AJ37" s="189"/>
      <c r="AK37" s="189"/>
      <c r="AL37" s="189"/>
      <c r="AM37" s="189"/>
      <c r="AN37" s="189"/>
      <c r="AO37" s="189"/>
      <c r="AP37" s="189"/>
      <c r="AQ37" s="189"/>
      <c r="AR37" s="189"/>
      <c r="AS37" s="189"/>
      <c r="AT37" s="189"/>
      <c r="AU37" s="189"/>
      <c r="AV37" s="189"/>
      <c r="AW37" s="189"/>
      <c r="AX37" s="189"/>
      <c r="AY37" s="189"/>
      <c r="AZ37" s="189"/>
      <c r="BA37" s="189"/>
      <c r="BB37" s="189"/>
      <c r="BC37" s="189"/>
    </row>
    <row r="38" spans="1:55" x14ac:dyDescent="0.35">
      <c r="M38" s="189"/>
      <c r="N38" s="189"/>
      <c r="O38" s="189"/>
      <c r="P38" s="189"/>
      <c r="Q38" s="189"/>
      <c r="R38" s="189"/>
      <c r="S38" s="189"/>
      <c r="T38" s="189"/>
      <c r="U38" s="189"/>
      <c r="V38" s="189"/>
      <c r="W38" s="189"/>
      <c r="X38" s="189"/>
      <c r="Y38" s="189"/>
      <c r="Z38" s="189"/>
      <c r="AA38" s="189"/>
      <c r="AB38" s="189"/>
      <c r="AC38" s="188"/>
      <c r="AD38" s="189"/>
      <c r="AE38" s="189"/>
      <c r="AF38" s="189"/>
      <c r="AG38" s="189"/>
      <c r="AH38" s="189"/>
      <c r="AI38" s="189"/>
      <c r="AJ38" s="189"/>
      <c r="AK38" s="189"/>
      <c r="AL38" s="189"/>
      <c r="AM38" s="189"/>
      <c r="AN38" s="189"/>
      <c r="AO38" s="189"/>
      <c r="AP38" s="189"/>
      <c r="AQ38" s="189"/>
      <c r="AR38" s="189"/>
      <c r="AS38" s="189"/>
      <c r="AT38" s="189"/>
      <c r="AU38" s="189"/>
      <c r="AV38" s="189"/>
      <c r="AW38" s="189"/>
      <c r="AX38" s="189"/>
      <c r="AY38" s="189"/>
      <c r="AZ38" s="189"/>
      <c r="BA38" s="189"/>
      <c r="BB38" s="189"/>
      <c r="BC38" s="189"/>
    </row>
    <row r="39" spans="1:55" x14ac:dyDescent="0.35">
      <c r="M39" s="189"/>
      <c r="N39" s="189"/>
      <c r="O39" s="189"/>
      <c r="P39" s="189"/>
      <c r="Q39" s="189"/>
      <c r="R39" s="189"/>
      <c r="S39" s="189"/>
      <c r="T39" s="189"/>
      <c r="U39" s="189"/>
      <c r="V39" s="189"/>
      <c r="W39" s="189"/>
      <c r="X39" s="189"/>
      <c r="Y39" s="189"/>
      <c r="Z39" s="189"/>
      <c r="AA39" s="189"/>
      <c r="AB39" s="189"/>
      <c r="AC39" s="188"/>
      <c r="AD39" s="189"/>
      <c r="AE39" s="189"/>
      <c r="AF39" s="189"/>
      <c r="AG39" s="189"/>
      <c r="AH39" s="189"/>
      <c r="AI39" s="189"/>
      <c r="AJ39" s="189"/>
      <c r="AK39" s="189"/>
      <c r="AL39" s="189"/>
      <c r="AM39" s="189"/>
      <c r="AN39" s="189"/>
      <c r="AO39" s="189"/>
      <c r="AP39" s="189"/>
      <c r="AQ39" s="189"/>
      <c r="AR39" s="189"/>
      <c r="AS39" s="189"/>
      <c r="AT39" s="189"/>
      <c r="AU39" s="189"/>
      <c r="AV39" s="189"/>
      <c r="AW39" s="189"/>
      <c r="AX39" s="189"/>
      <c r="AY39" s="189"/>
      <c r="AZ39" s="189"/>
      <c r="BA39" s="189"/>
      <c r="BB39" s="189"/>
      <c r="BC39" s="189"/>
    </row>
    <row r="40" spans="1:55" x14ac:dyDescent="0.35">
      <c r="M40" s="189"/>
      <c r="N40" s="189"/>
      <c r="O40" s="189"/>
      <c r="P40" s="189"/>
      <c r="Q40" s="189"/>
      <c r="R40" s="189"/>
      <c r="S40" s="189"/>
      <c r="T40" s="189"/>
      <c r="U40" s="189"/>
      <c r="V40" s="189"/>
      <c r="W40" s="189"/>
      <c r="X40" s="189"/>
      <c r="Y40" s="189"/>
      <c r="Z40" s="189"/>
      <c r="AA40" s="189"/>
      <c r="AB40" s="189"/>
      <c r="AC40" s="188"/>
      <c r="AD40" s="189"/>
      <c r="AE40" s="189"/>
      <c r="AF40" s="189"/>
      <c r="AG40" s="189"/>
      <c r="AH40" s="189"/>
      <c r="AI40" s="189"/>
      <c r="AJ40" s="189"/>
      <c r="AK40" s="189"/>
      <c r="AL40" s="189"/>
      <c r="AM40" s="189"/>
      <c r="AN40" s="189"/>
      <c r="AO40" s="189"/>
      <c r="AP40" s="189"/>
      <c r="AQ40" s="189"/>
      <c r="AR40" s="189"/>
      <c r="AS40" s="189"/>
      <c r="AT40" s="189"/>
      <c r="AU40" s="189"/>
      <c r="AV40" s="189"/>
      <c r="AW40" s="189"/>
      <c r="AX40" s="189"/>
      <c r="AY40" s="189"/>
      <c r="AZ40" s="189"/>
      <c r="BA40" s="189"/>
      <c r="BB40" s="189"/>
      <c r="BC40" s="189"/>
    </row>
    <row r="41" spans="1:55" x14ac:dyDescent="0.35">
      <c r="M41" s="189"/>
      <c r="N41" s="189"/>
      <c r="O41" s="189"/>
      <c r="P41" s="189"/>
      <c r="Q41" s="189"/>
      <c r="R41" s="189"/>
      <c r="S41" s="189"/>
      <c r="T41" s="189"/>
      <c r="U41" s="189"/>
      <c r="V41" s="189"/>
      <c r="W41" s="189"/>
      <c r="X41" s="189"/>
      <c r="Y41" s="189"/>
      <c r="Z41" s="189"/>
      <c r="AA41" s="189"/>
      <c r="AB41" s="189"/>
      <c r="AC41" s="188"/>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c r="BA41" s="189"/>
      <c r="BB41" s="189"/>
      <c r="BC41" s="189"/>
    </row>
    <row r="42" spans="1:55" x14ac:dyDescent="0.35">
      <c r="M42" s="189"/>
      <c r="N42" s="189"/>
      <c r="O42" s="189"/>
      <c r="P42" s="189"/>
      <c r="Q42" s="189"/>
      <c r="R42" s="189"/>
      <c r="S42" s="189"/>
      <c r="T42" s="189"/>
      <c r="U42" s="189"/>
      <c r="V42" s="189"/>
      <c r="W42" s="189"/>
      <c r="X42" s="189"/>
      <c r="Y42" s="189"/>
      <c r="Z42" s="189"/>
      <c r="AA42" s="189"/>
      <c r="AB42" s="189"/>
      <c r="AC42" s="188"/>
      <c r="AD42" s="189"/>
      <c r="AE42" s="189"/>
      <c r="AF42" s="189"/>
      <c r="AG42" s="189"/>
      <c r="AH42" s="189"/>
      <c r="AI42" s="189"/>
      <c r="AJ42" s="189"/>
      <c r="AK42" s="189"/>
      <c r="AL42" s="189"/>
      <c r="AM42" s="189"/>
      <c r="AN42" s="189"/>
      <c r="AO42" s="189"/>
      <c r="AP42" s="189"/>
      <c r="AQ42" s="189"/>
      <c r="AR42" s="189"/>
      <c r="AS42" s="189"/>
      <c r="AT42" s="189"/>
      <c r="AU42" s="189"/>
      <c r="AV42" s="189"/>
      <c r="AW42" s="189"/>
      <c r="AX42" s="189"/>
      <c r="AY42" s="189"/>
      <c r="AZ42" s="189"/>
      <c r="BA42" s="189"/>
      <c r="BB42" s="189"/>
      <c r="BC42" s="189"/>
    </row>
    <row r="43" spans="1:55" x14ac:dyDescent="0.35">
      <c r="M43" s="189"/>
      <c r="N43" s="189"/>
      <c r="O43" s="189"/>
      <c r="P43" s="189"/>
      <c r="Q43" s="189"/>
      <c r="R43" s="189"/>
      <c r="S43" s="189"/>
      <c r="T43" s="189"/>
      <c r="U43" s="189"/>
      <c r="V43" s="189"/>
      <c r="W43" s="189"/>
      <c r="X43" s="189"/>
      <c r="Y43" s="189"/>
      <c r="Z43" s="189"/>
      <c r="AA43" s="189"/>
      <c r="AB43" s="189"/>
      <c r="AC43" s="188"/>
      <c r="AD43" s="189"/>
      <c r="AE43" s="189"/>
      <c r="AF43" s="189"/>
      <c r="AG43" s="189"/>
      <c r="AH43" s="189"/>
      <c r="AI43" s="189"/>
      <c r="AJ43" s="189"/>
      <c r="AK43" s="189"/>
      <c r="AL43" s="189"/>
      <c r="AM43" s="189"/>
      <c r="AN43" s="189"/>
      <c r="AO43" s="189"/>
      <c r="AP43" s="189"/>
      <c r="AQ43" s="189"/>
      <c r="AR43" s="189"/>
      <c r="AS43" s="189"/>
      <c r="AT43" s="189"/>
      <c r="AU43" s="189"/>
      <c r="AV43" s="189"/>
      <c r="AW43" s="189"/>
      <c r="AX43" s="189"/>
      <c r="AY43" s="189"/>
      <c r="AZ43" s="189"/>
      <c r="BA43" s="189"/>
      <c r="BB43" s="189"/>
      <c r="BC43" s="189"/>
    </row>
    <row r="44" spans="1:55" x14ac:dyDescent="0.35">
      <c r="M44" s="189"/>
      <c r="N44" s="189"/>
      <c r="O44" s="189"/>
      <c r="P44" s="189"/>
      <c r="Q44" s="189"/>
      <c r="R44" s="189"/>
      <c r="S44" s="189"/>
      <c r="T44" s="189"/>
      <c r="U44" s="189"/>
      <c r="V44" s="189"/>
      <c r="W44" s="189"/>
      <c r="X44" s="189"/>
      <c r="Y44" s="189"/>
      <c r="Z44" s="189"/>
      <c r="AA44" s="189"/>
      <c r="AB44" s="189"/>
      <c r="AC44" s="188"/>
      <c r="AD44" s="189"/>
      <c r="AE44" s="189"/>
      <c r="AF44" s="189"/>
      <c r="AG44" s="189"/>
      <c r="AH44" s="189"/>
      <c r="AI44" s="189"/>
      <c r="AJ44" s="189"/>
      <c r="AK44" s="189"/>
      <c r="AL44" s="189"/>
      <c r="AM44" s="189"/>
      <c r="AN44" s="189"/>
      <c r="AO44" s="189"/>
      <c r="AP44" s="189"/>
      <c r="AQ44" s="189"/>
      <c r="AR44" s="189"/>
      <c r="AS44" s="189"/>
      <c r="AT44" s="189"/>
      <c r="AU44" s="189"/>
      <c r="AV44" s="189"/>
      <c r="AW44" s="189"/>
      <c r="AX44" s="189"/>
      <c r="AY44" s="189"/>
      <c r="AZ44" s="189"/>
      <c r="BA44" s="189"/>
      <c r="BB44" s="189"/>
      <c r="BC44" s="189"/>
    </row>
    <row r="45" spans="1:55" x14ac:dyDescent="0.35">
      <c r="M45" s="189"/>
      <c r="N45" s="189"/>
      <c r="O45" s="189"/>
      <c r="P45" s="189"/>
      <c r="Q45" s="189"/>
      <c r="R45" s="189"/>
      <c r="S45" s="189"/>
      <c r="T45" s="189"/>
      <c r="U45" s="189"/>
      <c r="V45" s="189"/>
      <c r="W45" s="189"/>
      <c r="X45" s="189"/>
      <c r="Y45" s="189"/>
      <c r="Z45" s="189"/>
      <c r="AA45" s="189"/>
      <c r="AB45" s="189"/>
      <c r="AC45" s="188"/>
      <c r="AD45" s="189"/>
      <c r="AE45" s="189"/>
      <c r="AF45" s="189"/>
      <c r="AG45" s="189"/>
      <c r="AH45" s="189"/>
      <c r="AI45" s="189"/>
      <c r="AJ45" s="189"/>
      <c r="AK45" s="189"/>
      <c r="AL45" s="189"/>
      <c r="AM45" s="189"/>
      <c r="AN45" s="189"/>
      <c r="AO45" s="189"/>
      <c r="AP45" s="189"/>
      <c r="AQ45" s="189"/>
      <c r="AR45" s="189"/>
      <c r="AS45" s="189"/>
      <c r="AT45" s="189"/>
      <c r="AU45" s="189"/>
      <c r="AV45" s="189"/>
      <c r="AW45" s="189"/>
      <c r="AX45" s="189"/>
      <c r="AY45" s="189"/>
      <c r="AZ45" s="189"/>
      <c r="BA45" s="189"/>
      <c r="BB45" s="189"/>
      <c r="BC45" s="189"/>
    </row>
    <row r="46" spans="1:55" x14ac:dyDescent="0.35">
      <c r="M46" s="189"/>
      <c r="N46" s="189"/>
      <c r="O46" s="189"/>
      <c r="P46" s="189"/>
      <c r="Q46" s="189"/>
      <c r="R46" s="189"/>
      <c r="S46" s="189"/>
      <c r="T46" s="189"/>
      <c r="U46" s="189"/>
      <c r="V46" s="189"/>
      <c r="W46" s="189"/>
      <c r="X46" s="189"/>
      <c r="Y46" s="189"/>
      <c r="Z46" s="189"/>
      <c r="AA46" s="189"/>
      <c r="AB46" s="189"/>
      <c r="AC46" s="188"/>
      <c r="AD46" s="189"/>
      <c r="AE46" s="189"/>
      <c r="AF46" s="189"/>
      <c r="AG46" s="189"/>
      <c r="AH46" s="189"/>
      <c r="AI46" s="189"/>
      <c r="AJ46" s="189"/>
      <c r="AK46" s="189"/>
      <c r="AL46" s="189"/>
      <c r="AM46" s="189"/>
      <c r="AN46" s="189"/>
      <c r="AO46" s="189"/>
      <c r="AP46" s="189"/>
      <c r="AQ46" s="189"/>
      <c r="AR46" s="189"/>
      <c r="AS46" s="189"/>
      <c r="AT46" s="189"/>
      <c r="AU46" s="189"/>
      <c r="AV46" s="189"/>
      <c r="AW46" s="189"/>
      <c r="AX46" s="189"/>
      <c r="AY46" s="189"/>
      <c r="AZ46" s="189"/>
      <c r="BA46" s="189"/>
      <c r="BB46" s="189"/>
      <c r="BC46" s="189"/>
    </row>
    <row r="47" spans="1:55" x14ac:dyDescent="0.35">
      <c r="M47" s="189"/>
      <c r="N47" s="189"/>
      <c r="O47" s="189"/>
      <c r="P47" s="189"/>
      <c r="Q47" s="189"/>
      <c r="R47" s="189"/>
      <c r="S47" s="189"/>
      <c r="T47" s="189"/>
      <c r="U47" s="189"/>
      <c r="V47" s="189"/>
      <c r="W47" s="189"/>
      <c r="X47" s="189"/>
      <c r="Y47" s="189"/>
      <c r="Z47" s="189"/>
      <c r="AA47" s="189"/>
      <c r="AB47" s="189"/>
      <c r="AC47" s="188"/>
      <c r="AD47" s="189"/>
      <c r="AE47" s="189"/>
      <c r="AF47" s="189"/>
      <c r="AG47" s="189"/>
      <c r="AH47" s="189"/>
      <c r="AI47" s="189"/>
      <c r="AJ47" s="189"/>
      <c r="AK47" s="189"/>
      <c r="AL47" s="189"/>
      <c r="AM47" s="189"/>
      <c r="AN47" s="189"/>
      <c r="AO47" s="189"/>
      <c r="AP47" s="189"/>
      <c r="AQ47" s="189"/>
      <c r="AR47" s="189"/>
      <c r="AS47" s="189"/>
      <c r="AT47" s="189"/>
      <c r="AU47" s="189"/>
      <c r="AV47" s="189"/>
      <c r="AW47" s="189"/>
      <c r="AX47" s="189"/>
      <c r="AY47" s="189"/>
      <c r="AZ47" s="189"/>
      <c r="BA47" s="189"/>
      <c r="BB47" s="189"/>
      <c r="BC47" s="189"/>
    </row>
    <row r="48" spans="1:55" x14ac:dyDescent="0.35">
      <c r="M48" s="189"/>
      <c r="N48" s="189"/>
      <c r="O48" s="189"/>
      <c r="P48" s="189"/>
      <c r="Q48" s="189"/>
      <c r="R48" s="189"/>
      <c r="S48" s="189"/>
      <c r="T48" s="189"/>
      <c r="U48" s="189"/>
      <c r="V48" s="189"/>
      <c r="W48" s="189"/>
      <c r="X48" s="189"/>
      <c r="Y48" s="189"/>
      <c r="Z48" s="189"/>
      <c r="AA48" s="189"/>
      <c r="AB48" s="189"/>
      <c r="AC48" s="188"/>
      <c r="AD48" s="189"/>
      <c r="AE48" s="189"/>
      <c r="AF48" s="189"/>
      <c r="AG48" s="189"/>
      <c r="AH48" s="189"/>
      <c r="AI48" s="189"/>
      <c r="AJ48" s="189"/>
      <c r="AK48" s="189"/>
      <c r="AL48" s="189"/>
      <c r="AM48" s="189"/>
      <c r="AN48" s="189"/>
      <c r="AO48" s="189"/>
      <c r="AP48" s="189"/>
      <c r="AQ48" s="189"/>
      <c r="AR48" s="189"/>
      <c r="AS48" s="189"/>
      <c r="AT48" s="189"/>
      <c r="AU48" s="189"/>
      <c r="AV48" s="189"/>
      <c r="AW48" s="189"/>
      <c r="AX48" s="189"/>
      <c r="AY48" s="189"/>
      <c r="AZ48" s="189"/>
      <c r="BA48" s="189"/>
      <c r="BB48" s="189"/>
      <c r="BC48" s="189"/>
    </row>
    <row r="49" spans="13:55" x14ac:dyDescent="0.35">
      <c r="M49" s="189"/>
      <c r="N49" s="189"/>
      <c r="O49" s="189"/>
      <c r="P49" s="189"/>
      <c r="Q49" s="189"/>
      <c r="R49" s="189"/>
      <c r="S49" s="189"/>
      <c r="T49" s="189"/>
      <c r="U49" s="189"/>
      <c r="V49" s="189"/>
      <c r="W49" s="189"/>
      <c r="X49" s="189"/>
      <c r="Y49" s="189"/>
      <c r="Z49" s="189"/>
      <c r="AA49" s="189"/>
      <c r="AB49" s="189"/>
      <c r="AC49" s="188"/>
      <c r="AD49" s="189"/>
      <c r="AE49" s="189"/>
      <c r="AF49" s="189"/>
      <c r="AG49" s="189"/>
      <c r="AH49" s="189"/>
      <c r="AI49" s="189"/>
      <c r="AJ49" s="189"/>
      <c r="AK49" s="189"/>
      <c r="AL49" s="189"/>
      <c r="AM49" s="189"/>
      <c r="AN49" s="189"/>
      <c r="AO49" s="189"/>
      <c r="AP49" s="189"/>
      <c r="AQ49" s="189"/>
      <c r="AR49" s="189"/>
      <c r="AS49" s="189"/>
      <c r="AT49" s="189"/>
      <c r="AU49" s="189"/>
      <c r="AV49" s="189"/>
      <c r="AW49" s="189"/>
      <c r="AX49" s="189"/>
      <c r="AY49" s="189"/>
      <c r="AZ49" s="189"/>
      <c r="BA49" s="189"/>
      <c r="BB49" s="189"/>
      <c r="BC49" s="189"/>
    </row>
    <row r="50" spans="13:55" x14ac:dyDescent="0.35">
      <c r="M50" s="189"/>
      <c r="N50" s="189"/>
      <c r="O50" s="189"/>
      <c r="P50" s="189"/>
      <c r="Q50" s="189"/>
      <c r="R50" s="189"/>
      <c r="S50" s="189"/>
      <c r="T50" s="189"/>
      <c r="U50" s="189"/>
      <c r="V50" s="189"/>
      <c r="W50" s="189"/>
      <c r="X50" s="189"/>
      <c r="Y50" s="189"/>
      <c r="Z50" s="189"/>
      <c r="AA50" s="189"/>
      <c r="AB50" s="189"/>
      <c r="AC50" s="188"/>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89"/>
      <c r="BB50" s="189"/>
      <c r="BC50" s="189"/>
    </row>
    <row r="51" spans="13:55" x14ac:dyDescent="0.35">
      <c r="M51" s="189"/>
      <c r="N51" s="189"/>
      <c r="O51" s="189"/>
      <c r="P51" s="189"/>
      <c r="Q51" s="189"/>
      <c r="R51" s="189"/>
      <c r="S51" s="189"/>
      <c r="T51" s="189"/>
      <c r="U51" s="189"/>
      <c r="V51" s="189"/>
      <c r="W51" s="189"/>
      <c r="X51" s="189"/>
      <c r="Y51" s="189"/>
      <c r="Z51" s="189"/>
      <c r="AA51" s="189"/>
      <c r="AB51" s="189"/>
      <c r="AC51" s="188"/>
      <c r="AD51" s="189"/>
      <c r="AE51" s="189"/>
      <c r="AF51" s="189"/>
      <c r="AG51" s="189"/>
      <c r="AH51" s="189"/>
      <c r="AI51" s="189"/>
      <c r="AJ51" s="189"/>
      <c r="AK51" s="189"/>
      <c r="AL51" s="189"/>
      <c r="AM51" s="189"/>
      <c r="AN51" s="189"/>
      <c r="AO51" s="189"/>
      <c r="AP51" s="189"/>
      <c r="AQ51" s="189"/>
      <c r="AR51" s="189"/>
      <c r="AS51" s="189"/>
      <c r="AT51" s="189"/>
      <c r="AU51" s="189"/>
      <c r="AV51" s="189"/>
      <c r="AW51" s="189"/>
      <c r="AX51" s="189"/>
      <c r="AY51" s="189"/>
      <c r="AZ51" s="189"/>
      <c r="BA51" s="189"/>
      <c r="BB51" s="189"/>
      <c r="BC51" s="189"/>
    </row>
    <row r="52" spans="13:55" x14ac:dyDescent="0.35">
      <c r="M52" s="189"/>
      <c r="N52" s="189"/>
      <c r="O52" s="189"/>
      <c r="P52" s="189"/>
      <c r="Q52" s="189"/>
      <c r="R52" s="189"/>
      <c r="S52" s="189"/>
      <c r="T52" s="189"/>
      <c r="U52" s="189"/>
      <c r="V52" s="189"/>
      <c r="W52" s="189"/>
      <c r="X52" s="189"/>
      <c r="Y52" s="189"/>
      <c r="Z52" s="189"/>
      <c r="AA52" s="189"/>
      <c r="AB52" s="189"/>
      <c r="AC52" s="188"/>
      <c r="AD52" s="189"/>
      <c r="AE52" s="189"/>
      <c r="AF52" s="189"/>
      <c r="AG52" s="189"/>
      <c r="AH52" s="189"/>
      <c r="AI52" s="189"/>
      <c r="AJ52" s="189"/>
      <c r="AK52" s="189"/>
      <c r="AL52" s="189"/>
      <c r="AM52" s="189"/>
      <c r="AN52" s="189"/>
      <c r="AO52" s="189"/>
      <c r="AP52" s="189"/>
      <c r="AQ52" s="189"/>
      <c r="AR52" s="189"/>
      <c r="AS52" s="189"/>
      <c r="AT52" s="189"/>
      <c r="AU52" s="189"/>
      <c r="AV52" s="189"/>
      <c r="AW52" s="189"/>
      <c r="AX52" s="189"/>
      <c r="AY52" s="189"/>
      <c r="AZ52" s="189"/>
      <c r="BA52" s="189"/>
      <c r="BB52" s="189"/>
      <c r="BC52" s="189"/>
    </row>
    <row r="53" spans="13:55" x14ac:dyDescent="0.35">
      <c r="M53" s="189"/>
      <c r="N53" s="189"/>
      <c r="O53" s="189"/>
      <c r="P53" s="189"/>
      <c r="Q53" s="189"/>
      <c r="R53" s="189"/>
      <c r="S53" s="189"/>
      <c r="T53" s="189"/>
      <c r="U53" s="189"/>
      <c r="V53" s="189"/>
      <c r="W53" s="189"/>
      <c r="X53" s="189"/>
      <c r="Y53" s="189"/>
      <c r="Z53" s="189"/>
      <c r="AA53" s="189"/>
      <c r="AB53" s="189"/>
      <c r="AC53" s="188"/>
      <c r="AD53" s="189"/>
      <c r="AE53" s="189"/>
      <c r="AF53" s="189"/>
      <c r="AG53" s="189"/>
      <c r="AH53" s="189"/>
      <c r="AI53" s="189"/>
      <c r="AJ53" s="189"/>
      <c r="AK53" s="189"/>
      <c r="AL53" s="189"/>
      <c r="AM53" s="189"/>
      <c r="AN53" s="189"/>
      <c r="AO53" s="189"/>
      <c r="AP53" s="189"/>
      <c r="AQ53" s="189"/>
      <c r="AR53" s="189"/>
      <c r="AS53" s="189"/>
      <c r="AT53" s="189"/>
      <c r="AU53" s="189"/>
      <c r="AV53" s="189"/>
      <c r="AW53" s="189"/>
      <c r="AX53" s="189"/>
      <c r="AY53" s="189"/>
      <c r="AZ53" s="189"/>
      <c r="BA53" s="189"/>
      <c r="BB53" s="189"/>
      <c r="BC53" s="189"/>
    </row>
    <row r="54" spans="13:55" x14ac:dyDescent="0.35">
      <c r="M54" s="189"/>
      <c r="N54" s="189"/>
      <c r="O54" s="189"/>
      <c r="P54" s="189"/>
      <c r="Q54" s="189"/>
      <c r="R54" s="189"/>
      <c r="S54" s="189"/>
      <c r="T54" s="189"/>
      <c r="U54" s="189"/>
      <c r="V54" s="189"/>
      <c r="W54" s="189"/>
      <c r="X54" s="189"/>
      <c r="Y54" s="189"/>
      <c r="Z54" s="189"/>
      <c r="AA54" s="189"/>
      <c r="AB54" s="189"/>
      <c r="AC54" s="188"/>
      <c r="AD54" s="189"/>
      <c r="AE54" s="189"/>
      <c r="AF54" s="189"/>
      <c r="AG54" s="189"/>
      <c r="AH54" s="189"/>
      <c r="AI54" s="189"/>
      <c r="AJ54" s="189"/>
      <c r="AK54" s="189"/>
      <c r="AL54" s="189"/>
      <c r="AM54" s="189"/>
      <c r="AN54" s="189"/>
      <c r="AO54" s="189"/>
      <c r="AP54" s="189"/>
      <c r="AQ54" s="189"/>
      <c r="AR54" s="189"/>
      <c r="AS54" s="189"/>
      <c r="AT54" s="189"/>
      <c r="AU54" s="189"/>
      <c r="AV54" s="189"/>
      <c r="AW54" s="189"/>
      <c r="AX54" s="189"/>
      <c r="AY54" s="189"/>
      <c r="AZ54" s="189"/>
      <c r="BA54" s="189"/>
      <c r="BB54" s="189"/>
      <c r="BC54" s="189"/>
    </row>
    <row r="55" spans="13:55" x14ac:dyDescent="0.35">
      <c r="M55" s="189"/>
      <c r="N55" s="189"/>
      <c r="O55" s="189"/>
      <c r="P55" s="189"/>
      <c r="Q55" s="189"/>
      <c r="R55" s="189"/>
      <c r="S55" s="189"/>
      <c r="T55" s="189"/>
      <c r="U55" s="189"/>
      <c r="V55" s="189"/>
      <c r="W55" s="189"/>
      <c r="X55" s="189"/>
      <c r="Y55" s="189"/>
      <c r="Z55" s="189"/>
      <c r="AA55" s="189"/>
      <c r="AB55" s="189"/>
      <c r="AC55" s="188"/>
      <c r="AD55" s="189"/>
      <c r="AE55" s="189"/>
      <c r="AF55" s="189"/>
      <c r="AG55" s="189"/>
      <c r="AH55" s="189"/>
      <c r="AI55" s="189"/>
      <c r="AJ55" s="189"/>
      <c r="AK55" s="189"/>
      <c r="AL55" s="189"/>
      <c r="AM55" s="189"/>
      <c r="AN55" s="189"/>
      <c r="AO55" s="189"/>
      <c r="AP55" s="189"/>
      <c r="AQ55" s="189"/>
      <c r="AR55" s="189"/>
      <c r="AS55" s="189"/>
      <c r="AT55" s="189"/>
      <c r="AU55" s="189"/>
      <c r="AV55" s="189"/>
      <c r="AW55" s="189"/>
      <c r="AX55" s="189"/>
      <c r="AY55" s="189"/>
      <c r="AZ55" s="189"/>
      <c r="BA55" s="189"/>
      <c r="BB55" s="189"/>
      <c r="BC55" s="189"/>
    </row>
    <row r="56" spans="13:55" x14ac:dyDescent="0.35">
      <c r="M56" s="189"/>
      <c r="N56" s="189"/>
      <c r="O56" s="189"/>
      <c r="P56" s="189"/>
      <c r="Q56" s="189"/>
      <c r="R56" s="189"/>
      <c r="S56" s="189"/>
      <c r="T56" s="189"/>
      <c r="U56" s="189"/>
      <c r="V56" s="189"/>
      <c r="W56" s="189"/>
      <c r="X56" s="189"/>
      <c r="Y56" s="189"/>
      <c r="Z56" s="189"/>
      <c r="AA56" s="189"/>
      <c r="AB56" s="189"/>
      <c r="AC56" s="188"/>
      <c r="AD56" s="189"/>
      <c r="AE56" s="189"/>
      <c r="AF56" s="189"/>
      <c r="AG56" s="189"/>
      <c r="AH56" s="189"/>
      <c r="AI56" s="189"/>
      <c r="AJ56" s="189"/>
      <c r="AK56" s="189"/>
      <c r="AL56" s="189"/>
      <c r="AM56" s="189"/>
      <c r="AN56" s="189"/>
      <c r="AO56" s="189"/>
      <c r="AP56" s="189"/>
      <c r="AQ56" s="189"/>
      <c r="AR56" s="189"/>
      <c r="AS56" s="189"/>
      <c r="AT56" s="189"/>
      <c r="AU56" s="189"/>
      <c r="AV56" s="189"/>
      <c r="AW56" s="189"/>
      <c r="AX56" s="189"/>
      <c r="AY56" s="189"/>
      <c r="AZ56" s="189"/>
      <c r="BA56" s="189"/>
      <c r="BB56" s="189"/>
      <c r="BC56" s="189"/>
    </row>
    <row r="57" spans="13:55" x14ac:dyDescent="0.35">
      <c r="M57" s="189"/>
      <c r="N57" s="189"/>
      <c r="O57" s="189"/>
      <c r="P57" s="189"/>
      <c r="Q57" s="189"/>
      <c r="R57" s="189"/>
      <c r="S57" s="189"/>
      <c r="T57" s="189"/>
      <c r="U57" s="189"/>
      <c r="V57" s="189"/>
      <c r="W57" s="189"/>
      <c r="X57" s="189"/>
      <c r="Y57" s="189"/>
      <c r="Z57" s="189"/>
      <c r="AA57" s="189"/>
      <c r="AB57" s="189"/>
      <c r="AC57" s="188"/>
      <c r="AD57" s="189"/>
      <c r="AE57" s="189"/>
      <c r="AF57" s="189"/>
      <c r="AG57" s="189"/>
      <c r="AH57" s="189"/>
      <c r="AI57" s="189"/>
      <c r="AJ57" s="189"/>
      <c r="AK57" s="189"/>
      <c r="AL57" s="189"/>
      <c r="AM57" s="189"/>
      <c r="AN57" s="189"/>
      <c r="AO57" s="189"/>
      <c r="AP57" s="189"/>
      <c r="AQ57" s="189"/>
      <c r="AR57" s="189"/>
      <c r="AS57" s="189"/>
      <c r="AT57" s="189"/>
      <c r="AU57" s="189"/>
      <c r="AV57" s="189"/>
      <c r="AW57" s="189"/>
      <c r="AX57" s="189"/>
      <c r="AY57" s="189"/>
      <c r="AZ57" s="189"/>
      <c r="BA57" s="189"/>
      <c r="BB57" s="189"/>
      <c r="BC57" s="189"/>
    </row>
    <row r="58" spans="13:55" x14ac:dyDescent="0.35">
      <c r="M58" s="189"/>
      <c r="N58" s="189"/>
      <c r="O58" s="189"/>
      <c r="P58" s="189"/>
      <c r="Q58" s="189"/>
      <c r="R58" s="189"/>
      <c r="S58" s="189"/>
      <c r="T58" s="189"/>
      <c r="U58" s="189"/>
      <c r="V58" s="189"/>
      <c r="W58" s="189"/>
      <c r="X58" s="189"/>
      <c r="Y58" s="189"/>
      <c r="Z58" s="189"/>
      <c r="AA58" s="189"/>
      <c r="AB58" s="189"/>
      <c r="AC58" s="188"/>
      <c r="AD58" s="189"/>
      <c r="AE58" s="189"/>
      <c r="AF58" s="189"/>
      <c r="AG58" s="189"/>
      <c r="AH58" s="189"/>
      <c r="AI58" s="189"/>
      <c r="AJ58" s="189"/>
      <c r="AK58" s="189"/>
      <c r="AL58" s="189"/>
      <c r="AM58" s="189"/>
      <c r="AN58" s="189"/>
      <c r="AO58" s="189"/>
      <c r="AP58" s="189"/>
      <c r="AQ58" s="189"/>
      <c r="AR58" s="189"/>
      <c r="AS58" s="189"/>
      <c r="AT58" s="189"/>
      <c r="AU58" s="189"/>
      <c r="AV58" s="189"/>
      <c r="AW58" s="189"/>
      <c r="AX58" s="189"/>
      <c r="AY58" s="189"/>
      <c r="AZ58" s="189"/>
      <c r="BA58" s="189"/>
      <c r="BB58" s="189"/>
      <c r="BC58" s="189"/>
    </row>
    <row r="59" spans="13:55" x14ac:dyDescent="0.35">
      <c r="M59" s="189"/>
      <c r="N59" s="189"/>
      <c r="O59" s="189"/>
      <c r="P59" s="189"/>
      <c r="Q59" s="189"/>
      <c r="R59" s="189"/>
      <c r="S59" s="189"/>
      <c r="T59" s="189"/>
      <c r="U59" s="189"/>
      <c r="V59" s="189"/>
      <c r="W59" s="189"/>
      <c r="X59" s="189"/>
      <c r="Y59" s="189"/>
      <c r="Z59" s="189"/>
      <c r="AA59" s="189"/>
      <c r="AB59" s="189"/>
      <c r="AC59" s="188"/>
      <c r="AD59" s="189"/>
      <c r="AE59" s="189"/>
      <c r="AF59" s="189"/>
      <c r="AG59" s="189"/>
      <c r="AH59" s="189"/>
      <c r="AI59" s="189"/>
      <c r="AJ59" s="189"/>
      <c r="AK59" s="189"/>
      <c r="AL59" s="189"/>
      <c r="AM59" s="189"/>
      <c r="AN59" s="189"/>
      <c r="AO59" s="189"/>
      <c r="AP59" s="189"/>
      <c r="AQ59" s="189"/>
      <c r="AR59" s="189"/>
      <c r="AS59" s="189"/>
      <c r="AT59" s="189"/>
      <c r="AU59" s="189"/>
      <c r="AV59" s="189"/>
      <c r="AW59" s="189"/>
      <c r="AX59" s="189"/>
      <c r="AY59" s="189"/>
      <c r="AZ59" s="189"/>
      <c r="BA59" s="189"/>
      <c r="BB59" s="189"/>
      <c r="BC59" s="189"/>
    </row>
    <row r="60" spans="13:55" x14ac:dyDescent="0.35">
      <c r="M60" s="189"/>
      <c r="N60" s="189"/>
      <c r="O60" s="189"/>
      <c r="P60" s="189"/>
      <c r="Q60" s="189"/>
      <c r="R60" s="189"/>
      <c r="S60" s="189"/>
      <c r="T60" s="189"/>
      <c r="U60" s="189"/>
      <c r="V60" s="189"/>
      <c r="W60" s="189"/>
      <c r="X60" s="189"/>
      <c r="Y60" s="189"/>
      <c r="Z60" s="189"/>
      <c r="AA60" s="189"/>
      <c r="AB60" s="189"/>
      <c r="AC60" s="188"/>
      <c r="AD60" s="189"/>
      <c r="AE60" s="189"/>
      <c r="AF60" s="189"/>
      <c r="AG60" s="189"/>
      <c r="AH60" s="189"/>
      <c r="AI60" s="189"/>
      <c r="AJ60" s="189"/>
      <c r="AK60" s="189"/>
      <c r="AL60" s="189"/>
      <c r="AM60" s="189"/>
      <c r="AN60" s="189"/>
      <c r="AO60" s="189"/>
      <c r="AP60" s="189"/>
      <c r="AQ60" s="189"/>
      <c r="AR60" s="189"/>
      <c r="AS60" s="189"/>
      <c r="AT60" s="189"/>
      <c r="AU60" s="189"/>
      <c r="AV60" s="189"/>
      <c r="AW60" s="189"/>
      <c r="AX60" s="189"/>
      <c r="AY60" s="189"/>
      <c r="AZ60" s="189"/>
      <c r="BA60" s="189"/>
      <c r="BB60" s="189"/>
      <c r="BC60" s="189"/>
    </row>
    <row r="61" spans="13:55" x14ac:dyDescent="0.35">
      <c r="M61" s="189"/>
      <c r="N61" s="189"/>
      <c r="O61" s="189"/>
      <c r="P61" s="189"/>
      <c r="Q61" s="189"/>
      <c r="R61" s="189"/>
      <c r="S61" s="189"/>
      <c r="T61" s="189"/>
      <c r="U61" s="189"/>
      <c r="V61" s="189"/>
      <c r="W61" s="189"/>
      <c r="X61" s="189"/>
      <c r="Y61" s="189"/>
      <c r="Z61" s="189"/>
      <c r="AA61" s="189"/>
      <c r="AB61" s="189"/>
      <c r="AC61" s="188"/>
      <c r="AD61" s="189"/>
      <c r="AE61" s="189"/>
      <c r="AF61" s="189"/>
      <c r="AG61" s="189"/>
      <c r="AH61" s="189"/>
      <c r="AI61" s="189"/>
      <c r="AJ61" s="189"/>
      <c r="AK61" s="189"/>
      <c r="AL61" s="189"/>
      <c r="AM61" s="189"/>
      <c r="AN61" s="189"/>
      <c r="AO61" s="189"/>
      <c r="AP61" s="189"/>
      <c r="AQ61" s="189"/>
      <c r="AR61" s="189"/>
      <c r="AS61" s="189"/>
      <c r="AT61" s="189"/>
      <c r="AU61" s="189"/>
      <c r="AV61" s="189"/>
      <c r="AW61" s="189"/>
      <c r="AX61" s="189"/>
      <c r="AY61" s="189"/>
      <c r="AZ61" s="189"/>
      <c r="BA61" s="189"/>
      <c r="BB61" s="189"/>
      <c r="BC61" s="189"/>
    </row>
    <row r="62" spans="13:55" x14ac:dyDescent="0.35">
      <c r="M62" s="189"/>
      <c r="N62" s="189"/>
      <c r="O62" s="189"/>
      <c r="P62" s="189"/>
      <c r="Q62" s="189"/>
      <c r="R62" s="189"/>
      <c r="S62" s="189"/>
      <c r="T62" s="189"/>
      <c r="U62" s="189"/>
      <c r="V62" s="189"/>
      <c r="W62" s="189"/>
      <c r="X62" s="189"/>
      <c r="Y62" s="189"/>
      <c r="Z62" s="189"/>
      <c r="AA62" s="189"/>
      <c r="AB62" s="189"/>
      <c r="AC62" s="188"/>
      <c r="AD62" s="189"/>
      <c r="AE62" s="189"/>
      <c r="AF62" s="189"/>
      <c r="AG62" s="189"/>
      <c r="AH62" s="189"/>
      <c r="AI62" s="189"/>
      <c r="AJ62" s="189"/>
      <c r="AK62" s="189"/>
      <c r="AL62" s="189"/>
      <c r="AM62" s="189"/>
      <c r="AN62" s="189"/>
      <c r="AO62" s="189"/>
      <c r="AP62" s="189"/>
      <c r="AQ62" s="189"/>
      <c r="AR62" s="189"/>
      <c r="AS62" s="189"/>
      <c r="AT62" s="189"/>
      <c r="AU62" s="189"/>
      <c r="AV62" s="189"/>
      <c r="AW62" s="189"/>
      <c r="AX62" s="189"/>
      <c r="AY62" s="189"/>
      <c r="AZ62" s="189"/>
      <c r="BA62" s="189"/>
      <c r="BB62" s="189"/>
      <c r="BC62" s="189"/>
    </row>
    <row r="63" spans="13:55" x14ac:dyDescent="0.35">
      <c r="M63" s="189"/>
      <c r="N63" s="189"/>
      <c r="O63" s="189"/>
      <c r="P63" s="189"/>
      <c r="Q63" s="189"/>
      <c r="R63" s="189"/>
      <c r="S63" s="189"/>
      <c r="T63" s="189"/>
      <c r="U63" s="189"/>
      <c r="V63" s="189"/>
      <c r="W63" s="189"/>
      <c r="X63" s="189"/>
      <c r="Y63" s="189"/>
      <c r="Z63" s="189"/>
      <c r="AA63" s="189"/>
      <c r="AB63" s="189"/>
      <c r="AC63" s="188"/>
      <c r="AD63" s="189"/>
      <c r="AE63" s="189"/>
      <c r="AF63" s="189"/>
      <c r="AG63" s="189"/>
      <c r="AH63" s="189"/>
      <c r="AI63" s="189"/>
      <c r="AJ63" s="189"/>
      <c r="AK63" s="189"/>
      <c r="AL63" s="189"/>
      <c r="AM63" s="189"/>
      <c r="AN63" s="189"/>
      <c r="AO63" s="189"/>
      <c r="AP63" s="189"/>
      <c r="AQ63" s="189"/>
      <c r="AR63" s="189"/>
      <c r="AS63" s="189"/>
      <c r="AT63" s="189"/>
      <c r="AU63" s="189"/>
      <c r="AV63" s="189"/>
      <c r="AW63" s="189"/>
      <c r="AX63" s="189"/>
      <c r="AY63" s="189"/>
      <c r="AZ63" s="189"/>
      <c r="BA63" s="189"/>
      <c r="BB63" s="189"/>
      <c r="BC63" s="189"/>
    </row>
    <row r="64" spans="13:55" x14ac:dyDescent="0.35">
      <c r="M64" s="189"/>
      <c r="N64" s="189"/>
      <c r="O64" s="189"/>
      <c r="P64" s="189"/>
      <c r="Q64" s="189"/>
      <c r="R64" s="189"/>
      <c r="S64" s="189"/>
      <c r="T64" s="189"/>
      <c r="U64" s="189"/>
      <c r="V64" s="189"/>
      <c r="W64" s="189"/>
      <c r="X64" s="189"/>
      <c r="Y64" s="189"/>
      <c r="Z64" s="189"/>
      <c r="AA64" s="189"/>
      <c r="AB64" s="189"/>
      <c r="AC64" s="188"/>
      <c r="AD64" s="189"/>
      <c r="AE64" s="189"/>
      <c r="AF64" s="189"/>
      <c r="AG64" s="189"/>
      <c r="AH64" s="189"/>
      <c r="AI64" s="189"/>
      <c r="AJ64" s="189"/>
      <c r="AK64" s="189"/>
      <c r="AL64" s="189"/>
      <c r="AM64" s="189"/>
      <c r="AN64" s="189"/>
      <c r="AO64" s="189"/>
      <c r="AP64" s="189"/>
      <c r="AQ64" s="189"/>
      <c r="AR64" s="189"/>
      <c r="AS64" s="189"/>
      <c r="AT64" s="189"/>
      <c r="AU64" s="189"/>
      <c r="AV64" s="189"/>
      <c r="AW64" s="189"/>
      <c r="AX64" s="189"/>
      <c r="AY64" s="189"/>
      <c r="AZ64" s="189"/>
      <c r="BA64" s="189"/>
      <c r="BB64" s="189"/>
      <c r="BC64" s="189"/>
    </row>
    <row r="65" spans="13:55" x14ac:dyDescent="0.35">
      <c r="M65" s="189"/>
      <c r="N65" s="189"/>
      <c r="O65" s="189"/>
      <c r="P65" s="189"/>
      <c r="Q65" s="189"/>
      <c r="R65" s="189"/>
      <c r="S65" s="189"/>
      <c r="T65" s="189"/>
      <c r="U65" s="189"/>
      <c r="V65" s="189"/>
      <c r="W65" s="189"/>
      <c r="X65" s="189"/>
      <c r="Y65" s="189"/>
      <c r="Z65" s="189"/>
      <c r="AA65" s="189"/>
      <c r="AB65" s="189"/>
      <c r="AC65" s="188"/>
      <c r="AD65" s="189"/>
      <c r="AE65" s="189"/>
      <c r="AF65" s="189"/>
      <c r="AG65" s="189"/>
      <c r="AH65" s="189"/>
      <c r="AI65" s="189"/>
      <c r="AJ65" s="189"/>
      <c r="AK65" s="189"/>
      <c r="AL65" s="189"/>
      <c r="AM65" s="189"/>
      <c r="AN65" s="189"/>
      <c r="AO65" s="189"/>
      <c r="AP65" s="189"/>
      <c r="AQ65" s="189"/>
      <c r="AR65" s="189"/>
      <c r="AS65" s="189"/>
      <c r="AT65" s="189"/>
      <c r="AU65" s="189"/>
      <c r="AV65" s="189"/>
      <c r="AW65" s="189"/>
      <c r="AX65" s="189"/>
      <c r="AY65" s="189"/>
      <c r="AZ65" s="189"/>
      <c r="BA65" s="189"/>
      <c r="BB65" s="189"/>
      <c r="BC65" s="189"/>
    </row>
    <row r="66" spans="13:55" x14ac:dyDescent="0.35">
      <c r="M66" s="189"/>
      <c r="N66" s="189"/>
      <c r="O66" s="189"/>
      <c r="P66" s="189"/>
      <c r="Q66" s="189"/>
      <c r="R66" s="189"/>
      <c r="S66" s="189"/>
      <c r="T66" s="189"/>
      <c r="U66" s="189"/>
      <c r="V66" s="189"/>
      <c r="W66" s="189"/>
      <c r="X66" s="189"/>
      <c r="Y66" s="189"/>
      <c r="Z66" s="189"/>
      <c r="AA66" s="189"/>
      <c r="AB66" s="189"/>
      <c r="AC66" s="188"/>
      <c r="AD66" s="189"/>
      <c r="AE66" s="189"/>
      <c r="AF66" s="189"/>
      <c r="AG66" s="189"/>
      <c r="AH66" s="189"/>
      <c r="AI66" s="189"/>
      <c r="AJ66" s="189"/>
      <c r="AK66" s="189"/>
      <c r="AL66" s="189"/>
      <c r="AM66" s="189"/>
      <c r="AN66" s="189"/>
      <c r="AO66" s="189"/>
      <c r="AP66" s="189"/>
      <c r="AQ66" s="189"/>
      <c r="AR66" s="189"/>
      <c r="AS66" s="189"/>
      <c r="AT66" s="189"/>
      <c r="AU66" s="189"/>
      <c r="AV66" s="189"/>
      <c r="AW66" s="189"/>
      <c r="AX66" s="189"/>
      <c r="AY66" s="189"/>
      <c r="AZ66" s="189"/>
      <c r="BA66" s="189"/>
      <c r="BB66" s="189"/>
      <c r="BC66" s="189"/>
    </row>
    <row r="67" spans="13:55" x14ac:dyDescent="0.35">
      <c r="M67" s="189"/>
      <c r="N67" s="189"/>
      <c r="O67" s="189"/>
      <c r="P67" s="189"/>
      <c r="Q67" s="189"/>
      <c r="R67" s="189"/>
      <c r="S67" s="189"/>
      <c r="T67" s="189"/>
      <c r="U67" s="189"/>
      <c r="V67" s="189"/>
      <c r="W67" s="189"/>
      <c r="X67" s="189"/>
      <c r="Y67" s="189"/>
      <c r="Z67" s="189"/>
      <c r="AA67" s="189"/>
      <c r="AB67" s="189"/>
      <c r="AC67" s="188"/>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row>
    <row r="68" spans="13:55" x14ac:dyDescent="0.35">
      <c r="M68" s="189"/>
      <c r="N68" s="189"/>
      <c r="O68" s="189"/>
      <c r="P68" s="189"/>
      <c r="Q68" s="189"/>
      <c r="R68" s="189"/>
      <c r="S68" s="189"/>
      <c r="T68" s="189"/>
      <c r="U68" s="189"/>
      <c r="V68" s="189"/>
      <c r="W68" s="189"/>
      <c r="X68" s="189"/>
      <c r="Y68" s="189"/>
      <c r="Z68" s="189"/>
      <c r="AA68" s="189"/>
      <c r="AB68" s="189"/>
      <c r="AC68" s="188"/>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89"/>
      <c r="BA68" s="189"/>
      <c r="BB68" s="189"/>
      <c r="BC68" s="189"/>
    </row>
    <row r="69" spans="13:55" x14ac:dyDescent="0.35">
      <c r="M69" s="189"/>
      <c r="N69" s="189"/>
      <c r="O69" s="189"/>
      <c r="P69" s="189"/>
      <c r="Q69" s="189"/>
      <c r="R69" s="189"/>
      <c r="S69" s="189"/>
      <c r="T69" s="189"/>
      <c r="U69" s="189"/>
      <c r="V69" s="189"/>
      <c r="W69" s="189"/>
      <c r="X69" s="189"/>
      <c r="Y69" s="189"/>
      <c r="Z69" s="189"/>
      <c r="AA69" s="189"/>
      <c r="AB69" s="189"/>
      <c r="AC69" s="188"/>
      <c r="AD69" s="189"/>
      <c r="AE69" s="189"/>
      <c r="AF69" s="189"/>
      <c r="AG69" s="189"/>
      <c r="AH69" s="189"/>
      <c r="AI69" s="189"/>
      <c r="AJ69" s="189"/>
      <c r="AK69" s="189"/>
      <c r="AL69" s="189"/>
      <c r="AM69" s="189"/>
      <c r="AN69" s="189"/>
      <c r="AO69" s="189"/>
      <c r="AP69" s="189"/>
      <c r="AQ69" s="189"/>
      <c r="AR69" s="189"/>
      <c r="AS69" s="189"/>
      <c r="AT69" s="189"/>
      <c r="AU69" s="189"/>
      <c r="AV69" s="189"/>
      <c r="AW69" s="189"/>
      <c r="AX69" s="189"/>
      <c r="AY69" s="189"/>
      <c r="AZ69" s="189"/>
      <c r="BA69" s="189"/>
      <c r="BB69" s="189"/>
      <c r="BC69" s="189"/>
    </row>
    <row r="70" spans="13:55" x14ac:dyDescent="0.35">
      <c r="M70" s="189"/>
      <c r="N70" s="189"/>
      <c r="O70" s="189"/>
      <c r="P70" s="189"/>
      <c r="Q70" s="189"/>
      <c r="R70" s="189"/>
      <c r="S70" s="189"/>
      <c r="T70" s="189"/>
      <c r="U70" s="189"/>
      <c r="V70" s="189"/>
      <c r="W70" s="189"/>
      <c r="X70" s="189"/>
      <c r="Y70" s="189"/>
      <c r="Z70" s="189"/>
      <c r="AA70" s="189"/>
      <c r="AB70" s="189"/>
      <c r="AC70" s="188"/>
      <c r="AD70" s="189"/>
      <c r="AE70" s="189"/>
      <c r="AF70" s="189"/>
      <c r="AG70" s="189"/>
      <c r="AH70" s="189"/>
      <c r="AI70" s="189"/>
      <c r="AJ70" s="189"/>
      <c r="AK70" s="189"/>
      <c r="AL70" s="189"/>
      <c r="AM70" s="189"/>
      <c r="AN70" s="189"/>
      <c r="AO70" s="189"/>
      <c r="AP70" s="189"/>
      <c r="AQ70" s="189"/>
      <c r="AR70" s="189"/>
      <c r="AS70" s="189"/>
      <c r="AT70" s="189"/>
      <c r="AU70" s="189"/>
      <c r="AV70" s="189"/>
      <c r="AW70" s="189"/>
      <c r="AX70" s="189"/>
      <c r="AY70" s="189"/>
      <c r="AZ70" s="189"/>
      <c r="BA70" s="189"/>
      <c r="BB70" s="189"/>
      <c r="BC70" s="189"/>
    </row>
    <row r="1048576" spans="15:15" ht="14.25" customHeight="1" x14ac:dyDescent="0.35">
      <c r="O1048576">
        <f>SUM(O2:O1048575)</f>
        <v>4220.5080000000007</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9"/>
  <sheetViews>
    <sheetView zoomScaleNormal="100" workbookViewId="0"/>
  </sheetViews>
  <sheetFormatPr baseColWidth="10" defaultColWidth="10.6328125" defaultRowHeight="14.5" x14ac:dyDescent="0.35"/>
  <cols>
    <col min="1" max="10" width="19" customWidth="1"/>
    <col min="11" max="11" width="21.54296875" customWidth="1"/>
    <col min="12" max="12" width="16.36328125" customWidth="1"/>
  </cols>
  <sheetData>
    <row r="1" spans="1:17" ht="55.5" customHeight="1" x14ac:dyDescent="0.4">
      <c r="A1" s="117" t="s">
        <v>153</v>
      </c>
      <c r="L1" s="118"/>
    </row>
    <row r="2" spans="1:17" ht="27" customHeight="1" x14ac:dyDescent="0.35">
      <c r="A2" s="119" t="s">
        <v>154</v>
      </c>
    </row>
    <row r="3" spans="1:17" ht="14.25" customHeight="1" x14ac:dyDescent="0.35">
      <c r="A3" s="119" t="s">
        <v>155</v>
      </c>
    </row>
    <row r="5" spans="1:17" ht="27.75" customHeight="1" x14ac:dyDescent="0.35">
      <c r="A5" s="120" t="s">
        <v>156</v>
      </c>
      <c r="B5" s="120" t="s">
        <v>157</v>
      </c>
      <c r="C5" s="120" t="s">
        <v>158</v>
      </c>
      <c r="D5" s="120" t="s">
        <v>159</v>
      </c>
      <c r="E5" s="120" t="s">
        <v>160</v>
      </c>
      <c r="F5" s="120" t="s">
        <v>161</v>
      </c>
      <c r="G5" s="120" t="s">
        <v>162</v>
      </c>
      <c r="H5" s="120" t="s">
        <v>163</v>
      </c>
      <c r="I5" s="120" t="s">
        <v>164</v>
      </c>
      <c r="J5" s="120" t="s">
        <v>165</v>
      </c>
      <c r="K5" s="120" t="s">
        <v>166</v>
      </c>
      <c r="M5" s="121" t="s">
        <v>156</v>
      </c>
      <c r="N5" s="121" t="s">
        <v>160</v>
      </c>
      <c r="O5" s="121" t="s">
        <v>167</v>
      </c>
      <c r="P5" s="121" t="s">
        <v>168</v>
      </c>
      <c r="Q5" s="121" t="s">
        <v>169</v>
      </c>
    </row>
    <row r="6" spans="1:17" ht="27.75" customHeight="1" x14ac:dyDescent="0.35">
      <c r="A6" s="122" t="s">
        <v>170</v>
      </c>
      <c r="B6" s="123" t="s">
        <v>171</v>
      </c>
      <c r="C6" s="123" t="s">
        <v>172</v>
      </c>
      <c r="D6" s="124">
        <v>31</v>
      </c>
      <c r="E6" s="124">
        <v>5122</v>
      </c>
      <c r="F6" s="125">
        <v>1789176.8</v>
      </c>
      <c r="G6" s="123" t="s">
        <v>173</v>
      </c>
      <c r="H6" s="125">
        <v>1355</v>
      </c>
      <c r="I6" s="126">
        <v>1320.4256826568301</v>
      </c>
      <c r="J6" s="127">
        <v>82.156844398700798</v>
      </c>
      <c r="K6" s="128">
        <v>0.25779493999547598</v>
      </c>
      <c r="M6" s="123" t="s">
        <v>170</v>
      </c>
      <c r="N6" s="129">
        <v>5122</v>
      </c>
      <c r="O6" s="128">
        <v>0.25779493999547598</v>
      </c>
      <c r="P6" s="129">
        <v>5122</v>
      </c>
      <c r="Q6" s="126">
        <v>1320.4256826568301</v>
      </c>
    </row>
    <row r="7" spans="1:17" ht="27.75" customHeight="1" x14ac:dyDescent="0.35">
      <c r="A7" s="122" t="s">
        <v>174</v>
      </c>
      <c r="B7" s="123" t="s">
        <v>172</v>
      </c>
      <c r="C7" s="123" t="s">
        <v>175</v>
      </c>
      <c r="D7" s="124">
        <v>30</v>
      </c>
      <c r="E7" s="124">
        <v>6457</v>
      </c>
      <c r="F7" s="125">
        <v>2305849.4</v>
      </c>
      <c r="G7" s="123" t="s">
        <v>176</v>
      </c>
      <c r="H7" s="125">
        <v>1495</v>
      </c>
      <c r="I7" s="126">
        <v>1542.37418060201</v>
      </c>
      <c r="J7" s="127">
        <v>103.570235119565</v>
      </c>
      <c r="K7" s="128">
        <v>0.238868542760106</v>
      </c>
      <c r="M7" s="123" t="s">
        <v>174</v>
      </c>
      <c r="N7" s="129">
        <v>6457</v>
      </c>
      <c r="O7" s="128">
        <v>0.238868542760106</v>
      </c>
      <c r="P7" s="129">
        <v>11579</v>
      </c>
      <c r="Q7" s="126">
        <v>2862.7998632588301</v>
      </c>
    </row>
    <row r="8" spans="1:17" ht="27.75" customHeight="1" x14ac:dyDescent="0.35">
      <c r="A8" s="122" t="s">
        <v>177</v>
      </c>
      <c r="B8" s="123" t="s">
        <v>175</v>
      </c>
      <c r="C8" s="123" t="s">
        <v>178</v>
      </c>
      <c r="D8" s="124">
        <v>33</v>
      </c>
      <c r="E8" s="124">
        <v>7492</v>
      </c>
      <c r="F8" s="125">
        <v>2688749.8</v>
      </c>
      <c r="G8" s="123" t="s">
        <v>179</v>
      </c>
      <c r="H8" s="125">
        <v>1475</v>
      </c>
      <c r="I8" s="126">
        <v>1822.88122033898</v>
      </c>
      <c r="J8" s="127">
        <v>120.171627925628</v>
      </c>
      <c r="K8" s="128">
        <v>0.24331036042965601</v>
      </c>
      <c r="M8" s="123" t="s">
        <v>177</v>
      </c>
      <c r="N8" s="129">
        <v>7492</v>
      </c>
      <c r="O8" s="128">
        <v>0.24331036042965601</v>
      </c>
      <c r="P8" s="129">
        <v>19071</v>
      </c>
      <c r="Q8" s="126">
        <v>4685.6810835978204</v>
      </c>
    </row>
    <row r="9" spans="1:17" ht="27.75" customHeight="1" x14ac:dyDescent="0.35">
      <c r="A9" s="122" t="s">
        <v>180</v>
      </c>
      <c r="B9" s="123" t="s">
        <v>178</v>
      </c>
      <c r="C9" s="123" t="s">
        <v>181</v>
      </c>
      <c r="D9" s="124">
        <v>31</v>
      </c>
      <c r="E9" s="124">
        <v>8194</v>
      </c>
      <c r="F9" s="125">
        <v>2983581.3</v>
      </c>
      <c r="G9" s="123" t="s">
        <v>182</v>
      </c>
      <c r="H9" s="125">
        <v>1480</v>
      </c>
      <c r="I9" s="126">
        <v>2015.9333108108101</v>
      </c>
      <c r="J9" s="127">
        <v>131.43170304626199</v>
      </c>
      <c r="K9" s="128">
        <v>0.24602554439966001</v>
      </c>
      <c r="M9" s="123" t="s">
        <v>180</v>
      </c>
      <c r="N9" s="129">
        <v>8194</v>
      </c>
      <c r="O9" s="128">
        <v>0.24602554439966001</v>
      </c>
      <c r="P9" s="129">
        <v>27265</v>
      </c>
      <c r="Q9" s="126">
        <v>6701.6143944086298</v>
      </c>
    </row>
    <row r="10" spans="1:17" ht="27.75" customHeight="1" x14ac:dyDescent="0.35">
      <c r="A10" s="122" t="s">
        <v>183</v>
      </c>
      <c r="B10" s="123" t="s">
        <v>181</v>
      </c>
      <c r="C10" s="123" t="s">
        <v>184</v>
      </c>
      <c r="D10" s="124">
        <v>29</v>
      </c>
      <c r="E10" s="124">
        <v>8170</v>
      </c>
      <c r="F10" s="125">
        <v>3002019</v>
      </c>
      <c r="G10" s="123" t="s">
        <v>185</v>
      </c>
      <c r="H10" s="125">
        <v>1463.92</v>
      </c>
      <c r="I10" s="126">
        <v>2050.6714847805902</v>
      </c>
      <c r="J10" s="127">
        <v>131.046743213078</v>
      </c>
      <c r="K10" s="128">
        <v>0.25100018173569</v>
      </c>
      <c r="M10" s="123" t="s">
        <v>183</v>
      </c>
      <c r="N10" s="129">
        <v>8170</v>
      </c>
      <c r="O10" s="128">
        <v>0.25100018173569</v>
      </c>
      <c r="P10" s="129">
        <v>35435</v>
      </c>
      <c r="Q10" s="126">
        <v>8752.2858791892195</v>
      </c>
    </row>
    <row r="11" spans="1:17" ht="27.75" customHeight="1" x14ac:dyDescent="0.35">
      <c r="A11" s="122" t="s">
        <v>186</v>
      </c>
      <c r="B11" s="123" t="s">
        <v>184</v>
      </c>
      <c r="C11" s="123" t="s">
        <v>187</v>
      </c>
      <c r="D11" s="124">
        <v>33</v>
      </c>
      <c r="E11" s="124">
        <v>8708</v>
      </c>
      <c r="F11" s="125">
        <v>3294776.3</v>
      </c>
      <c r="G11" s="123" t="s">
        <v>188</v>
      </c>
      <c r="H11" s="125">
        <v>1421.51</v>
      </c>
      <c r="I11" s="126">
        <v>2317.80029686742</v>
      </c>
      <c r="J11" s="127">
        <v>139.676259473621</v>
      </c>
      <c r="K11" s="128">
        <v>0.266169074054595</v>
      </c>
      <c r="M11" s="123" t="s">
        <v>186</v>
      </c>
      <c r="N11" s="129">
        <v>8708</v>
      </c>
      <c r="O11" s="128">
        <v>0.266169074054595</v>
      </c>
      <c r="P11" s="129">
        <v>44143</v>
      </c>
      <c r="Q11" s="126">
        <v>11070.0861760566</v>
      </c>
    </row>
    <row r="12" spans="1:17" ht="27.75" customHeight="1" x14ac:dyDescent="0.35">
      <c r="A12" s="122" t="s">
        <v>189</v>
      </c>
      <c r="B12" s="123" t="s">
        <v>187</v>
      </c>
      <c r="C12" s="123" t="s">
        <v>190</v>
      </c>
      <c r="D12" s="124">
        <v>26</v>
      </c>
      <c r="E12" s="124">
        <v>5936</v>
      </c>
      <c r="F12" s="125">
        <v>2366687.9</v>
      </c>
      <c r="G12" s="123" t="s">
        <v>191</v>
      </c>
      <c r="H12" s="125">
        <v>1415.79</v>
      </c>
      <c r="I12" s="126">
        <v>1671.63767225365</v>
      </c>
      <c r="J12" s="127">
        <v>95.213398740860498</v>
      </c>
      <c r="K12" s="128">
        <v>0.28161011998882302</v>
      </c>
      <c r="M12" s="123" t="s">
        <v>189</v>
      </c>
      <c r="N12" s="129">
        <v>5936</v>
      </c>
      <c r="O12" s="128">
        <v>0.28161011998882302</v>
      </c>
      <c r="P12" s="129">
        <v>50079</v>
      </c>
      <c r="Q12" s="126">
        <v>12741.723848310299</v>
      </c>
    </row>
    <row r="13" spans="1:17" ht="27.75" customHeight="1" x14ac:dyDescent="0.35">
      <c r="A13" s="122" t="s">
        <v>192</v>
      </c>
      <c r="B13" s="123" t="s">
        <v>190</v>
      </c>
      <c r="C13" s="123" t="s">
        <v>193</v>
      </c>
      <c r="D13" s="124">
        <v>31</v>
      </c>
      <c r="E13" s="124">
        <v>6564</v>
      </c>
      <c r="F13" s="125">
        <v>2618064.5</v>
      </c>
      <c r="G13" s="123" t="s">
        <v>194</v>
      </c>
      <c r="H13" s="125">
        <v>1435.68</v>
      </c>
      <c r="I13" s="126">
        <v>1823.57106040343</v>
      </c>
      <c r="J13" s="127">
        <v>105.28651437584401</v>
      </c>
      <c r="K13" s="128">
        <v>0.27781399457700101</v>
      </c>
      <c r="M13" s="123" t="s">
        <v>192</v>
      </c>
      <c r="N13" s="129">
        <v>6564</v>
      </c>
      <c r="O13" s="128">
        <v>0.27781399457700101</v>
      </c>
      <c r="P13" s="129">
        <v>56643</v>
      </c>
      <c r="Q13" s="126">
        <v>14565.2949087137</v>
      </c>
    </row>
    <row r="14" spans="1:17" ht="27.75" customHeight="1" x14ac:dyDescent="0.35">
      <c r="A14" s="122" t="s">
        <v>195</v>
      </c>
      <c r="B14" s="123" t="s">
        <v>193</v>
      </c>
      <c r="C14" s="123" t="s">
        <v>196</v>
      </c>
      <c r="D14" s="124">
        <v>32</v>
      </c>
      <c r="E14" s="124">
        <v>5106</v>
      </c>
      <c r="F14" s="125">
        <v>2138299.7000000002</v>
      </c>
      <c r="G14" s="123" t="s">
        <v>197</v>
      </c>
      <c r="H14" s="125">
        <v>1430.45</v>
      </c>
      <c r="I14" s="126">
        <v>1494.84407004789</v>
      </c>
      <c r="J14" s="127">
        <v>81.900204509911404</v>
      </c>
      <c r="K14" s="128">
        <v>0.29276225422011098</v>
      </c>
      <c r="M14" s="123" t="s">
        <v>195</v>
      </c>
      <c r="N14" s="129">
        <v>5106</v>
      </c>
      <c r="O14" s="128">
        <v>0.29276225422011098</v>
      </c>
      <c r="P14" s="129">
        <v>61749</v>
      </c>
      <c r="Q14" s="126">
        <v>16060.138978761601</v>
      </c>
    </row>
    <row r="15" spans="1:17" ht="27.75" customHeight="1" x14ac:dyDescent="0.35">
      <c r="A15" s="122" t="s">
        <v>198</v>
      </c>
      <c r="B15" s="123" t="s">
        <v>196</v>
      </c>
      <c r="C15" s="123" t="s">
        <v>199</v>
      </c>
      <c r="D15" s="124">
        <v>30</v>
      </c>
      <c r="E15" s="124">
        <v>3781</v>
      </c>
      <c r="F15" s="125">
        <v>1712871.4</v>
      </c>
      <c r="G15" s="123" t="s">
        <v>200</v>
      </c>
      <c r="H15" s="125">
        <v>1502.09</v>
      </c>
      <c r="I15" s="126">
        <v>1140.32541325753</v>
      </c>
      <c r="J15" s="127">
        <v>60.647213719540702</v>
      </c>
      <c r="K15" s="128">
        <v>0.301593603083186</v>
      </c>
      <c r="M15" s="123" t="s">
        <v>198</v>
      </c>
      <c r="N15" s="129">
        <v>3781</v>
      </c>
      <c r="O15" s="128">
        <v>0.301593603083186</v>
      </c>
      <c r="P15" s="129">
        <v>65530</v>
      </c>
      <c r="Q15" s="126">
        <v>17200.464392019101</v>
      </c>
    </row>
    <row r="16" spans="1:17" ht="27.75" customHeight="1" x14ac:dyDescent="0.35">
      <c r="A16" s="122" t="s">
        <v>201</v>
      </c>
      <c r="B16" s="123" t="s">
        <v>199</v>
      </c>
      <c r="C16" s="123" t="s">
        <v>202</v>
      </c>
      <c r="D16" s="124">
        <v>33</v>
      </c>
      <c r="E16" s="124">
        <v>4167</v>
      </c>
      <c r="F16" s="125">
        <v>1956719.2</v>
      </c>
      <c r="G16" s="123" t="s">
        <v>203</v>
      </c>
      <c r="H16" s="125">
        <v>1515</v>
      </c>
      <c r="I16" s="126">
        <v>1291.56382838284</v>
      </c>
      <c r="J16" s="127">
        <v>66.838651036584594</v>
      </c>
      <c r="K16" s="128">
        <v>0.30995052277006002</v>
      </c>
      <c r="M16" s="123" t="s">
        <v>201</v>
      </c>
      <c r="N16" s="129">
        <v>4167</v>
      </c>
      <c r="O16" s="128">
        <v>0.30995052277006002</v>
      </c>
      <c r="P16" s="129">
        <v>69697</v>
      </c>
      <c r="Q16" s="126">
        <v>18492.028220402</v>
      </c>
    </row>
    <row r="17" spans="1:17" ht="27.75" customHeight="1" x14ac:dyDescent="0.35">
      <c r="A17" s="122" t="s">
        <v>204</v>
      </c>
      <c r="B17" s="123" t="s">
        <v>202</v>
      </c>
      <c r="C17" s="123" t="s">
        <v>205</v>
      </c>
      <c r="D17" s="124">
        <v>30</v>
      </c>
      <c r="E17" s="124">
        <v>5116</v>
      </c>
      <c r="F17" s="125">
        <v>2528665.2999999998</v>
      </c>
      <c r="G17" s="123" t="s">
        <v>206</v>
      </c>
      <c r="H17" s="125">
        <v>1530</v>
      </c>
      <c r="I17" s="126">
        <v>1652.7224183006499</v>
      </c>
      <c r="J17" s="127">
        <v>82.060604440404802</v>
      </c>
      <c r="K17" s="128">
        <v>0.32304972992585101</v>
      </c>
      <c r="M17" s="123" t="s">
        <v>204</v>
      </c>
      <c r="N17" s="129">
        <v>5116</v>
      </c>
      <c r="O17" s="128">
        <v>0.32304972992585101</v>
      </c>
      <c r="P17" s="129">
        <v>74813</v>
      </c>
      <c r="Q17" s="126">
        <v>20144.750638702601</v>
      </c>
    </row>
    <row r="19" spans="1:17" ht="14.25" customHeight="1" x14ac:dyDescent="0.35">
      <c r="A19" s="130" t="s">
        <v>207</v>
      </c>
      <c r="B19" s="131"/>
      <c r="C19" s="131"/>
      <c r="D19" s="131"/>
      <c r="E19" s="132">
        <v>74813</v>
      </c>
      <c r="F19" s="133">
        <v>29385460.600000001</v>
      </c>
      <c r="G19" s="131"/>
      <c r="H19" s="131"/>
      <c r="I19" s="133">
        <v>20144.750638702601</v>
      </c>
      <c r="J19" s="134">
        <v>100</v>
      </c>
      <c r="K19" s="135">
        <v>0.269268050187837</v>
      </c>
    </row>
    <row r="20" spans="1:17" ht="14.25" customHeight="1" x14ac:dyDescent="0.35">
      <c r="A20" s="136"/>
      <c r="B20" s="137"/>
      <c r="C20" s="137"/>
      <c r="D20" s="137"/>
      <c r="E20" s="138"/>
      <c r="F20" s="139"/>
      <c r="G20" s="137"/>
      <c r="H20" s="137"/>
      <c r="I20" s="133"/>
      <c r="J20" s="134"/>
      <c r="K20" s="135"/>
    </row>
    <row r="22" spans="1:17" ht="14.25" customHeight="1" x14ac:dyDescent="0.35">
      <c r="A22" s="140" t="s">
        <v>208</v>
      </c>
    </row>
    <row r="23" spans="1:17" ht="14.25" customHeight="1" x14ac:dyDescent="0.35">
      <c r="A23" s="119" t="s">
        <v>209</v>
      </c>
    </row>
    <row r="24" spans="1:17" ht="14.25" customHeight="1" x14ac:dyDescent="0.35">
      <c r="A24" s="119" t="s">
        <v>210</v>
      </c>
    </row>
    <row r="25" spans="1:17" ht="14.25" customHeight="1" x14ac:dyDescent="0.35">
      <c r="A25" s="119" t="s">
        <v>211</v>
      </c>
    </row>
    <row r="26" spans="1:17" ht="14.25" customHeight="1" x14ac:dyDescent="0.35">
      <c r="A26" s="141" t="s">
        <v>212</v>
      </c>
    </row>
    <row r="27" spans="1:17" ht="14.25" customHeight="1" x14ac:dyDescent="0.35">
      <c r="A27" s="141" t="s">
        <v>213</v>
      </c>
    </row>
    <row r="28" spans="1:17" ht="14.25" customHeight="1" x14ac:dyDescent="0.35">
      <c r="A28" s="141" t="s">
        <v>214</v>
      </c>
    </row>
    <row r="29" spans="1:17" ht="14.25" customHeight="1" x14ac:dyDescent="0.35">
      <c r="A29" s="141" t="s">
        <v>215</v>
      </c>
    </row>
    <row r="30" spans="1:17" ht="14.25" customHeight="1" x14ac:dyDescent="0.35">
      <c r="A30" s="141" t="s">
        <v>216</v>
      </c>
    </row>
    <row r="31" spans="1:17" ht="14.25" customHeight="1" x14ac:dyDescent="0.35">
      <c r="A31" s="141" t="s">
        <v>217</v>
      </c>
    </row>
    <row r="32" spans="1:17" ht="14.25" customHeight="1" x14ac:dyDescent="0.35">
      <c r="A32" s="141" t="s">
        <v>218</v>
      </c>
    </row>
    <row r="33" spans="1:7" ht="14.25" customHeight="1" x14ac:dyDescent="0.35">
      <c r="A33" s="141" t="s">
        <v>219</v>
      </c>
    </row>
    <row r="34" spans="1:7" ht="14.25" customHeight="1" x14ac:dyDescent="0.35">
      <c r="A34" s="141" t="s">
        <v>220</v>
      </c>
    </row>
    <row r="35" spans="1:7" ht="14.25" customHeight="1" x14ac:dyDescent="0.35">
      <c r="A35" s="141" t="s">
        <v>221</v>
      </c>
    </row>
    <row r="36" spans="1:7" ht="14.25" customHeight="1" x14ac:dyDescent="0.35">
      <c r="A36" s="141" t="s">
        <v>222</v>
      </c>
    </row>
    <row r="37" spans="1:7" ht="14.25" customHeight="1" x14ac:dyDescent="0.35">
      <c r="A37" s="141" t="s">
        <v>223</v>
      </c>
    </row>
    <row r="38" spans="1:7" ht="14.25" customHeight="1" x14ac:dyDescent="0.35">
      <c r="A38" s="119" t="s">
        <v>224</v>
      </c>
    </row>
    <row r="39" spans="1:7" ht="14.25" customHeight="1" x14ac:dyDescent="0.35">
      <c r="A39" s="119" t="s">
        <v>225</v>
      </c>
    </row>
    <row r="40" spans="1:7" ht="14.25" customHeight="1" x14ac:dyDescent="0.35">
      <c r="A40" s="119" t="s">
        <v>226</v>
      </c>
    </row>
    <row r="43" spans="1:7" ht="18" customHeight="1" x14ac:dyDescent="0.4">
      <c r="A43" s="117" t="s">
        <v>227</v>
      </c>
    </row>
    <row r="44" spans="1:7" ht="14.25" customHeight="1" x14ac:dyDescent="0.35">
      <c r="A44" s="119" t="s">
        <v>228</v>
      </c>
    </row>
    <row r="46" spans="1:7" ht="27.75" customHeight="1" x14ac:dyDescent="0.35">
      <c r="A46" s="120" t="s">
        <v>229</v>
      </c>
      <c r="B46" s="120" t="s">
        <v>230</v>
      </c>
      <c r="C46" s="120" t="s">
        <v>231</v>
      </c>
      <c r="D46" s="120" t="s">
        <v>232</v>
      </c>
      <c r="E46" s="120" t="s">
        <v>233</v>
      </c>
      <c r="F46" s="120" t="s">
        <v>234</v>
      </c>
      <c r="G46" s="120" t="s">
        <v>235</v>
      </c>
    </row>
    <row r="47" spans="1:7" ht="14.25" customHeight="1" x14ac:dyDescent="0.35">
      <c r="A47" s="122" t="s">
        <v>236</v>
      </c>
      <c r="B47" s="122" t="s">
        <v>237</v>
      </c>
      <c r="C47" s="142" t="s">
        <v>238</v>
      </c>
      <c r="D47" s="123">
        <v>61</v>
      </c>
      <c r="E47" s="129">
        <v>11579</v>
      </c>
      <c r="F47" s="127">
        <v>189.819672131148</v>
      </c>
      <c r="G47" s="127">
        <v>93.574420674752403</v>
      </c>
    </row>
    <row r="48" spans="1:7" ht="14.25" customHeight="1" x14ac:dyDescent="0.35">
      <c r="A48" s="122" t="s">
        <v>239</v>
      </c>
      <c r="B48" s="122" t="s">
        <v>237</v>
      </c>
      <c r="C48" s="142" t="s">
        <v>238</v>
      </c>
      <c r="D48" s="123">
        <v>64</v>
      </c>
      <c r="E48" s="129">
        <v>15686</v>
      </c>
      <c r="F48" s="127">
        <v>245.09375</v>
      </c>
      <c r="G48" s="127">
        <v>120.822596571587</v>
      </c>
    </row>
    <row r="49" spans="1:7" ht="14.25" customHeight="1" x14ac:dyDescent="0.35">
      <c r="A49" s="122" t="s">
        <v>240</v>
      </c>
      <c r="B49" s="122" t="s">
        <v>237</v>
      </c>
      <c r="C49" s="142" t="s">
        <v>238</v>
      </c>
      <c r="D49" s="123">
        <v>62</v>
      </c>
      <c r="E49" s="129">
        <v>16878</v>
      </c>
      <c r="F49" s="127">
        <v>272.22580645161298</v>
      </c>
      <c r="G49" s="127">
        <v>134.19774592080901</v>
      </c>
    </row>
    <row r="50" spans="1:7" ht="14.25" customHeight="1" x14ac:dyDescent="0.35">
      <c r="A50" s="122" t="s">
        <v>241</v>
      </c>
      <c r="B50" s="122" t="s">
        <v>237</v>
      </c>
      <c r="C50" s="142" t="s">
        <v>238</v>
      </c>
      <c r="D50" s="123">
        <v>57</v>
      </c>
      <c r="E50" s="129">
        <v>12500</v>
      </c>
      <c r="F50" s="127">
        <v>219.29824561403501</v>
      </c>
      <c r="G50" s="127">
        <v>108.106320372027</v>
      </c>
    </row>
    <row r="51" spans="1:7" ht="14.25" customHeight="1" x14ac:dyDescent="0.35">
      <c r="A51" s="122" t="s">
        <v>242</v>
      </c>
      <c r="B51" s="122" t="s">
        <v>237</v>
      </c>
      <c r="C51" s="142" t="s">
        <v>238</v>
      </c>
      <c r="D51" s="123">
        <v>62</v>
      </c>
      <c r="E51" s="129">
        <v>8887</v>
      </c>
      <c r="F51" s="127">
        <v>143.33870967741899</v>
      </c>
      <c r="G51" s="127">
        <v>70.660941343656006</v>
      </c>
    </row>
    <row r="52" spans="1:7" ht="14.25" customHeight="1" x14ac:dyDescent="0.35">
      <c r="A52" s="122" t="s">
        <v>243</v>
      </c>
      <c r="B52" s="122" t="s">
        <v>237</v>
      </c>
      <c r="C52" s="142" t="s">
        <v>238</v>
      </c>
      <c r="D52" s="123">
        <v>63</v>
      </c>
      <c r="E52" s="129">
        <v>9283</v>
      </c>
      <c r="F52" s="127">
        <v>147.34920634920601</v>
      </c>
      <c r="G52" s="127">
        <v>72.637975117169304</v>
      </c>
    </row>
    <row r="54" spans="1:7" ht="14.25" customHeight="1" x14ac:dyDescent="0.35">
      <c r="A54" s="130" t="s">
        <v>244</v>
      </c>
      <c r="B54" s="131"/>
      <c r="C54" s="131"/>
      <c r="D54" s="131"/>
      <c r="E54" s="131"/>
      <c r="F54" s="134">
        <v>202.85423170390399</v>
      </c>
      <c r="G54" s="134">
        <v>600</v>
      </c>
    </row>
    <row r="56" spans="1:7" ht="14.25" customHeight="1" x14ac:dyDescent="0.35">
      <c r="A56" s="140" t="s">
        <v>245</v>
      </c>
    </row>
    <row r="57" spans="1:7" ht="14.25" customHeight="1" x14ac:dyDescent="0.35">
      <c r="A57" s="119" t="s">
        <v>246</v>
      </c>
    </row>
    <row r="58" spans="1:7" ht="14.25" customHeight="1" x14ac:dyDescent="0.35">
      <c r="A58" s="119" t="s">
        <v>247</v>
      </c>
    </row>
    <row r="59" spans="1:7" ht="14.25" customHeight="1" x14ac:dyDescent="0.35">
      <c r="A59" s="119" t="s">
        <v>248</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5"/>
  <sheetViews>
    <sheetView zoomScaleNormal="100" workbookViewId="0">
      <selection activeCell="A37" sqref="A37"/>
    </sheetView>
  </sheetViews>
  <sheetFormatPr baseColWidth="10" defaultColWidth="8.6328125" defaultRowHeight="14.5" x14ac:dyDescent="0.35"/>
  <cols>
    <col min="1" max="1" width="50.6328125" customWidth="1"/>
    <col min="2" max="2" width="16" customWidth="1"/>
    <col min="3" max="3" width="22" customWidth="1"/>
    <col min="4" max="4" width="10" customWidth="1"/>
    <col min="5" max="6" width="12" customWidth="1"/>
    <col min="7" max="7" width="20.54296875" customWidth="1"/>
    <col min="8" max="8" width="11" customWidth="1"/>
    <col min="9" max="11" width="13" customWidth="1"/>
    <col min="12" max="12" width="10" customWidth="1"/>
    <col min="13" max="13" width="16" customWidth="1"/>
    <col min="14" max="14" width="48" customWidth="1"/>
  </cols>
  <sheetData>
    <row r="1" spans="1:14" ht="17.25" customHeight="1" x14ac:dyDescent="0.4">
      <c r="A1" s="79" t="s">
        <v>71</v>
      </c>
    </row>
    <row r="2" spans="1:14" ht="15" customHeight="1" x14ac:dyDescent="0.35">
      <c r="A2" s="80" t="s">
        <v>72</v>
      </c>
    </row>
    <row r="3" spans="1:14" ht="15" customHeight="1" x14ac:dyDescent="0.35">
      <c r="A3" s="80" t="s">
        <v>73</v>
      </c>
    </row>
    <row r="5" spans="1:14" ht="15" customHeight="1" x14ac:dyDescent="0.35">
      <c r="A5" s="81" t="s">
        <v>74</v>
      </c>
      <c r="B5" t="s">
        <v>75</v>
      </c>
      <c r="C5" s="82">
        <v>0.5</v>
      </c>
      <c r="D5" t="s">
        <v>76</v>
      </c>
      <c r="E5" s="82">
        <v>0.3</v>
      </c>
      <c r="F5" t="s">
        <v>77</v>
      </c>
      <c r="G5" s="82">
        <v>0.2</v>
      </c>
    </row>
    <row r="6" spans="1:14" ht="15" customHeight="1" x14ac:dyDescent="0.35">
      <c r="A6" s="81" t="s">
        <v>78</v>
      </c>
      <c r="B6" t="s">
        <v>79</v>
      </c>
      <c r="C6" s="82">
        <v>0.6</v>
      </c>
      <c r="D6" t="s">
        <v>80</v>
      </c>
      <c r="E6" s="82">
        <v>0.2</v>
      </c>
      <c r="F6" s="80" t="s">
        <v>81</v>
      </c>
    </row>
    <row r="8" spans="1:14" ht="39" customHeight="1" x14ac:dyDescent="0.35">
      <c r="A8" s="83" t="s">
        <v>82</v>
      </c>
      <c r="B8" s="83" t="s">
        <v>1</v>
      </c>
      <c r="C8" s="83" t="s">
        <v>83</v>
      </c>
      <c r="D8" s="83" t="s">
        <v>84</v>
      </c>
      <c r="E8" s="83" t="s">
        <v>85</v>
      </c>
      <c r="F8" s="83" t="s">
        <v>86</v>
      </c>
      <c r="G8" s="83" t="s">
        <v>87</v>
      </c>
      <c r="H8" s="83" t="s">
        <v>88</v>
      </c>
      <c r="I8" s="83" t="s">
        <v>89</v>
      </c>
      <c r="J8" s="83" t="s">
        <v>90</v>
      </c>
      <c r="K8" s="83" t="s">
        <v>91</v>
      </c>
      <c r="L8" s="83" t="s">
        <v>92</v>
      </c>
      <c r="M8" s="83" t="s">
        <v>93</v>
      </c>
      <c r="N8" s="83" t="s">
        <v>94</v>
      </c>
    </row>
    <row r="9" spans="1:14" ht="28.5" x14ac:dyDescent="0.35">
      <c r="A9" s="84" t="str">
        <f>'Matriz Layout Camara'!D2</f>
        <v>GRANEL A</v>
      </c>
      <c r="B9" s="85" t="str">
        <f>'Matriz Layout Camara'!E2</f>
        <v>Criticos</v>
      </c>
      <c r="C9" s="84" t="str">
        <f>"Rack "&amp;'Matriz Layout Camara'!J2&amp;"-Niv "&amp;'Matriz Layout Camara'!K2&amp;"-Pos "&amp;'Matriz Layout Camara'!L2</f>
        <v>Rack 1-Niv ND-Pos ND</v>
      </c>
      <c r="D9" s="86">
        <f>'Matriz Layout Camara'!AG2</f>
        <v>2.4652498674667007</v>
      </c>
      <c r="E9" s="87">
        <f>'Matriz Layout Camara'!R2</f>
        <v>750</v>
      </c>
      <c r="F9" s="88">
        <f>'Matriz Layout Camara'!Z2</f>
        <v>0.61402214022140222</v>
      </c>
      <c r="G9" s="89">
        <f>'Matriz Layout Camara'!T2</f>
        <v>5871.9975570000006</v>
      </c>
      <c r="H9" s="85">
        <f t="shared" ref="H9:H27" si="0">IF(B9="Criticos",3,IF(B9="Estrategicos Financieros",2,1))</f>
        <v>3</v>
      </c>
      <c r="I9" s="90">
        <f>(H9-MIN(H9:H27))/(MAX(H9:H27)-MIN(H9:H27))</f>
        <v>1</v>
      </c>
      <c r="J9" s="90">
        <f>1-(D9-MIN(D9:D27))/(MAX(D9:D27)-MIN(D9:D27))</f>
        <v>4.4246039481524058E-2</v>
      </c>
      <c r="K9" s="90">
        <f>(E9-MIN(E9:E27))/(MAX(E9:E27)-MIN(E9:E27))</f>
        <v>1</v>
      </c>
      <c r="L9" s="91">
        <f t="shared" ref="L9:L27" si="1">$C$5*I9+$E$5*J9+$G$5*K9</f>
        <v>0.71327381184445726</v>
      </c>
      <c r="M9" s="85" t="str">
        <f t="shared" ref="M9:M27" si="2">IF(L9&gt;=$C$6,"Zona 1 - Oro",IF(L9&gt;=$E$6,"Zona 2 - Plata","Zona 3 - Bronce"))</f>
        <v>Zona 1 - Oro</v>
      </c>
      <c r="N9" s="92" t="str">
        <f t="shared" ref="N9:N27" si="3">IF(ISNUMBER(SEARCH("GRANEL",A9))+ISNUMBER(SEARCH("TENTACIONES",A9)),"Mantener posición (misma) — REDENSIFICAR estibado a &gt;=88% util. volumétrica",IF(ISNUMBER(SEARCH("FAMILIARES",A9)),"Bajar a Nivel 1 — posición dedicada cerca de puerta",IF(M9="Zona 3 - Bronce","Subir a Nivel 2 — consolidar en posición compartida","Mantener en Nivel 1 — posición dedicada")))</f>
        <v>Mantener posición (misma) — REDENSIFICAR estibado a &gt;=88% util. volumétrica</v>
      </c>
    </row>
    <row r="10" spans="1:14" ht="28.5" x14ac:dyDescent="0.35">
      <c r="A10" s="84" t="str">
        <f>'Matriz Layout Camara'!D3</f>
        <v>GRANEL B</v>
      </c>
      <c r="B10" s="85" t="str">
        <f>'Matriz Layout Camara'!E3</f>
        <v>Criticos</v>
      </c>
      <c r="C10" s="84" t="str">
        <f>"Rack "&amp;'Matriz Layout Camara'!J3&amp;"-Niv "&amp;'Matriz Layout Camara'!K3&amp;"-Pos "&amp;'Matriz Layout Camara'!L3</f>
        <v>Rack 5-Niv ND-Pos ND</v>
      </c>
      <c r="D10" s="86">
        <f>'Matriz Layout Camara'!AG3</f>
        <v>2.40417093031808</v>
      </c>
      <c r="E10" s="87">
        <f>'Matriz Layout Camara'!R3</f>
        <v>750</v>
      </c>
      <c r="F10" s="88">
        <f>'Matriz Layout Camara'!Z3</f>
        <v>0.62962162162162161</v>
      </c>
      <c r="G10" s="89">
        <f>'Matriz Layout Camara'!T3</f>
        <v>4110.3982899000002</v>
      </c>
      <c r="H10" s="85">
        <f t="shared" si="0"/>
        <v>3</v>
      </c>
      <c r="I10" s="90">
        <f>(H10-MIN(H9:H27))/(MAX(H9:H27)-MIN(H9:H27))</f>
        <v>1</v>
      </c>
      <c r="J10" s="90">
        <f>1-(D10-MIN(D9:D27))/(MAX(D9:D27)-MIN(D9:D27))</f>
        <v>8.5727512694474206E-2</v>
      </c>
      <c r="K10" s="90">
        <f>(E10-MIN(E9:E27))/(MAX(E9:E27)-MIN(E9:E27))</f>
        <v>1</v>
      </c>
      <c r="L10" s="91">
        <f t="shared" si="1"/>
        <v>0.72571825380834221</v>
      </c>
      <c r="M10" s="85" t="str">
        <f t="shared" si="2"/>
        <v>Zona 1 - Oro</v>
      </c>
      <c r="N10" s="92" t="str">
        <f t="shared" si="3"/>
        <v>Mantener posición (misma) — REDENSIFICAR estibado a &gt;=88% util. volumétrica</v>
      </c>
    </row>
    <row r="11" spans="1:14" x14ac:dyDescent="0.35">
      <c r="A11" s="84" t="str">
        <f>'Matriz Layout Camara'!D4</f>
        <v>BOMBON ESCOCES</v>
      </c>
      <c r="B11" s="85" t="str">
        <f>'Matriz Layout Camara'!E4</f>
        <v>Criticos</v>
      </c>
      <c r="C11" s="84" t="str">
        <f>"Rack "&amp;'Matriz Layout Camara'!J4&amp;"-Niv "&amp;'Matriz Layout Camara'!K4&amp;"-Pos "&amp;'Matriz Layout Camara'!L4</f>
        <v>Rack 2-Niv 1-Pos 1</v>
      </c>
      <c r="D11" s="86">
        <f>'Matriz Layout Camara'!AG4</f>
        <v>1.7660043331028379</v>
      </c>
      <c r="E11" s="87">
        <f>'Matriz Layout Camara'!R4</f>
        <v>296.00191853095345</v>
      </c>
      <c r="F11" s="88">
        <f>'Matriz Layout Camara'!Z4</f>
        <v>0.8516865079365078</v>
      </c>
      <c r="G11" s="89">
        <f>'Matriz Layout Camara'!T4</f>
        <v>444.84829977272733</v>
      </c>
      <c r="H11" s="85">
        <f t="shared" si="0"/>
        <v>3</v>
      </c>
      <c r="I11" s="90">
        <f>(H11-MIN(H9:H27))/(MAX(H9:H27)-MIN(H9:H27))</f>
        <v>1</v>
      </c>
      <c r="J11" s="90">
        <f>1-(D11-MIN(D9:D27))/(MAX(D9:D27)-MIN(D9:D27))</f>
        <v>0.51913535905843833</v>
      </c>
      <c r="K11" s="90">
        <f>(E11-MIN(E9:E27))/(MAX(E9:E27)-MIN(E9:E27))</f>
        <v>8.4508280920374115E-2</v>
      </c>
      <c r="L11" s="91">
        <f t="shared" si="1"/>
        <v>0.67264226390160631</v>
      </c>
      <c r="M11" s="85" t="str">
        <f t="shared" si="2"/>
        <v>Zona 1 - Oro</v>
      </c>
      <c r="N11" s="92" t="str">
        <f t="shared" si="3"/>
        <v>Mantener en Nivel 1 — posición dedicada</v>
      </c>
    </row>
    <row r="12" spans="1:14" x14ac:dyDescent="0.35">
      <c r="A12" s="84" t="str">
        <f>'Matriz Layout Camara'!D5</f>
        <v>BOMBON SUIZO</v>
      </c>
      <c r="B12" s="85" t="str">
        <f>'Matriz Layout Camara'!E5</f>
        <v>Rutina</v>
      </c>
      <c r="C12" s="84" t="str">
        <f>"Rack "&amp;'Matriz Layout Camara'!J5&amp;"-Niv "&amp;'Matriz Layout Camara'!K5&amp;"-Pos "&amp;'Matriz Layout Camara'!L5</f>
        <v>Rack 2-Niv 1-Pos 6</v>
      </c>
      <c r="D12" s="86">
        <f>'Matriz Layout Camara'!AG5</f>
        <v>2.0705593314771589</v>
      </c>
      <c r="E12" s="87">
        <f>'Matriz Layout Camara'!R5</f>
        <v>287.97289666854886</v>
      </c>
      <c r="F12" s="88">
        <f>'Matriz Layout Camara'!Z5</f>
        <v>0.7466666666666667</v>
      </c>
      <c r="G12" s="89">
        <f>'Matriz Layout Camara'!T5</f>
        <v>177.93931990909093</v>
      </c>
      <c r="H12" s="85">
        <f t="shared" si="0"/>
        <v>1</v>
      </c>
      <c r="I12" s="90">
        <f>(H12-MIN(H9:H27))/(MAX(H9:H27)-MIN(H9:H27))</f>
        <v>0</v>
      </c>
      <c r="J12" s="90">
        <f>1-(D12-MIN(D9:D27))/(MAX(D9:D27)-MIN(D9:D27))</f>
        <v>0.31229826272530792</v>
      </c>
      <c r="K12" s="90">
        <f>(E12-MIN(E9:E27))/(MAX(E9:E27)-MIN(E9:E27))</f>
        <v>6.8317677198975274E-2</v>
      </c>
      <c r="L12" s="91">
        <f t="shared" si="1"/>
        <v>0.10735301425738743</v>
      </c>
      <c r="M12" s="85" t="str">
        <f t="shared" si="2"/>
        <v>Zona 3 - Bronce</v>
      </c>
      <c r="N12" s="92" t="str">
        <f t="shared" si="3"/>
        <v>Subir a Nivel 2 — consolidar en posición compartida</v>
      </c>
    </row>
    <row r="13" spans="1:14" x14ac:dyDescent="0.35">
      <c r="A13" s="84" t="str">
        <f>'Matriz Layout Camara'!D6</f>
        <v>POSTRE CASSATA</v>
      </c>
      <c r="B13" s="85" t="str">
        <f>'Matriz Layout Camara'!E6</f>
        <v>Rutina</v>
      </c>
      <c r="C13" s="84" t="str">
        <f>"Rack "&amp;'Matriz Layout Camara'!J6&amp;"-Niv "&amp;'Matriz Layout Camara'!K6&amp;"-Pos "&amp;'Matriz Layout Camara'!L6</f>
        <v>Rack 2-Niv 1-Pos 5</v>
      </c>
      <c r="D13" s="86">
        <f>'Matriz Layout Camara'!AG6</f>
        <v>2.3466339090074464</v>
      </c>
      <c r="E13" s="87">
        <f>'Matriz Layout Camara'!R6</f>
        <v>254.09373235460191</v>
      </c>
      <c r="F13" s="88">
        <f>'Matriz Layout Camara'!Z6</f>
        <v>0.7466666666666667</v>
      </c>
      <c r="G13" s="89">
        <f>'Matriz Layout Camara'!T6</f>
        <v>177.93931990909093</v>
      </c>
      <c r="H13" s="85">
        <f t="shared" si="0"/>
        <v>1</v>
      </c>
      <c r="I13" s="90">
        <f>(H13-MIN(H9:H27))/(MAX(H9:H27)-MIN(H9:H27))</f>
        <v>0</v>
      </c>
      <c r="J13" s="90">
        <f>1-(D13-MIN(D9:D27))/(MAX(D9:D27)-MIN(D9:D27))</f>
        <v>0.12480351040613191</v>
      </c>
      <c r="K13" s="90">
        <f>(E13-MIN(E9:E27))/(MAX(E9:E27)-MIN(E9:E27))</f>
        <v>0</v>
      </c>
      <c r="L13" s="91">
        <f t="shared" si="1"/>
        <v>3.7441053121839575E-2</v>
      </c>
      <c r="M13" s="85" t="str">
        <f t="shared" si="2"/>
        <v>Zona 3 - Bronce</v>
      </c>
      <c r="N13" s="92" t="str">
        <f t="shared" si="3"/>
        <v>Subir a Nivel 2 — consolidar en posición compartida</v>
      </c>
    </row>
    <row r="14" spans="1:14" x14ac:dyDescent="0.35">
      <c r="A14" s="84" t="str">
        <f>'Matriz Layout Camara'!D7</f>
        <v>POSTRE  ALMENDRADO</v>
      </c>
      <c r="B14" s="85" t="str">
        <f>'Matriz Layout Camara'!E7</f>
        <v>Rutina</v>
      </c>
      <c r="C14" s="84" t="str">
        <f>"Rack "&amp;'Matriz Layout Camara'!J7&amp;"-Niv "&amp;'Matriz Layout Camara'!K7&amp;"-Pos "&amp;'Matriz Layout Camara'!L7</f>
        <v>Rack 2-Niv 1-Pos 5</v>
      </c>
      <c r="D14" s="86">
        <f>'Matriz Layout Camara'!AG7</f>
        <v>2.0952088473280774</v>
      </c>
      <c r="E14" s="87">
        <f>'Matriz Layout Camara'!R7</f>
        <v>284.58498023715413</v>
      </c>
      <c r="F14" s="88">
        <f>'Matriz Layout Camara'!Z7</f>
        <v>0.7466666666666667</v>
      </c>
      <c r="G14" s="89">
        <f>'Matriz Layout Camara'!T7</f>
        <v>177.93931990909093</v>
      </c>
      <c r="H14" s="85">
        <f t="shared" si="0"/>
        <v>1</v>
      </c>
      <c r="I14" s="90">
        <f>(H14-MIN(H9:H27))/(MAX(H9:H27)-MIN(H9:H27))</f>
        <v>0</v>
      </c>
      <c r="J14" s="90">
        <f>1-(D14-MIN(D9:D27))/(MAX(D9:D27)-MIN(D9:D27))</f>
        <v>0.2955576598396672</v>
      </c>
      <c r="K14" s="90">
        <f>(E14-MIN(E9:E27))/(MAX(E9:E27)-MIN(E9:E27))</f>
        <v>6.1485909479077679E-2</v>
      </c>
      <c r="L14" s="91">
        <f t="shared" si="1"/>
        <v>0.1009644798477157</v>
      </c>
      <c r="M14" s="85" t="str">
        <f t="shared" si="2"/>
        <v>Zona 3 - Bronce</v>
      </c>
      <c r="N14" s="92" t="str">
        <f t="shared" si="3"/>
        <v>Subir a Nivel 2 — consolidar en posición compartida</v>
      </c>
    </row>
    <row r="15" spans="1:14" ht="28" x14ac:dyDescent="0.35">
      <c r="A15" s="84" t="str">
        <f>'Matriz Layout Camara'!D8</f>
        <v>BOMBON FRUTEZZA</v>
      </c>
      <c r="B15" s="85" t="str">
        <f>'Matriz Layout Camara'!E8</f>
        <v>Estrategicos Financieros</v>
      </c>
      <c r="C15" s="84" t="str">
        <f>"Rack "&amp;'Matriz Layout Camara'!J8&amp;"-Niv "&amp;'Matriz Layout Camara'!K8&amp;"-Pos "&amp;'Matriz Layout Camara'!L8</f>
        <v>Rack 2-Niv 1-Pos 3</v>
      </c>
      <c r="D15" s="86">
        <f>'Matriz Layout Camara'!AG8</f>
        <v>1.9026761424384699</v>
      </c>
      <c r="E15" s="87">
        <f>'Matriz Layout Camara'!R8</f>
        <v>293.32342375820633</v>
      </c>
      <c r="F15" s="88">
        <f>'Matriz Layout Camara'!Z8</f>
        <v>0.79772727272727284</v>
      </c>
      <c r="G15" s="89">
        <f>'Matriz Layout Camara'!T8</f>
        <v>444.84829977272733</v>
      </c>
      <c r="H15" s="85">
        <f t="shared" si="0"/>
        <v>2</v>
      </c>
      <c r="I15" s="90">
        <f>(H15-MIN(H9:H27))/(MAX(H9:H27)-MIN(H9:H27))</f>
        <v>0.5</v>
      </c>
      <c r="J15" s="90">
        <f>1-(D15-MIN(D9:D27))/(MAX(D9:D27)-MIN(D9:D27))</f>
        <v>0.42631534183832076</v>
      </c>
      <c r="K15" s="90">
        <f>(E15-MIN(E9:E27))/(MAX(E9:E27)-MIN(E9:E27))</f>
        <v>7.9107069144074491E-2</v>
      </c>
      <c r="L15" s="91">
        <f t="shared" si="1"/>
        <v>0.39371601638031112</v>
      </c>
      <c r="M15" s="85" t="str">
        <f t="shared" si="2"/>
        <v>Zona 2 - Plata</v>
      </c>
      <c r="N15" s="92" t="str">
        <f t="shared" si="3"/>
        <v>Mantener en Nivel 1 — posición dedicada</v>
      </c>
    </row>
    <row r="16" spans="1:14" x14ac:dyDescent="0.35">
      <c r="A16" s="84" t="str">
        <f>'Matriz Layout Camara'!D9</f>
        <v>POSTRE CROCANTINO</v>
      </c>
      <c r="B16" s="85" t="str">
        <f>'Matriz Layout Camara'!E9</f>
        <v>Rutina</v>
      </c>
      <c r="C16" s="84" t="str">
        <f>"Rack "&amp;'Matriz Layout Camara'!J9&amp;"-Niv "&amp;'Matriz Layout Camara'!K9&amp;"-Pos "&amp;'Matriz Layout Camara'!L9</f>
        <v>Rack 2-Niv 1-Pos 6</v>
      </c>
      <c r="D16" s="86">
        <f>'Matriz Layout Camara'!AG9</f>
        <v>2.2327054056071636</v>
      </c>
      <c r="E16" s="87">
        <f>'Matriz Layout Camara'!R9</f>
        <v>305.27497194163863</v>
      </c>
      <c r="F16" s="88">
        <f>'Matriz Layout Camara'!Z9</f>
        <v>0.65319587628865972</v>
      </c>
      <c r="G16" s="89">
        <f>'Matriz Layout Camara'!T9</f>
        <v>177.93931990909093</v>
      </c>
      <c r="H16" s="85">
        <f t="shared" si="0"/>
        <v>1</v>
      </c>
      <c r="I16" s="90">
        <f>(H16-MIN(H9:H27))/(MAX(H9:H27)-MIN(H9:H27))</f>
        <v>0</v>
      </c>
      <c r="J16" s="90">
        <f>1-(D16-MIN(D9:D27))/(MAX(D9:D27)-MIN(D9:D27))</f>
        <v>0.20217751824930963</v>
      </c>
      <c r="K16" s="90">
        <f>(E16-MIN(E9:E27))/(MAX(E9:E27)-MIN(E9:E27))</f>
        <v>0.10320748683022149</v>
      </c>
      <c r="L16" s="91">
        <f t="shared" si="1"/>
        <v>8.1294752840837189E-2</v>
      </c>
      <c r="M16" s="85" t="str">
        <f t="shared" si="2"/>
        <v>Zona 3 - Bronce</v>
      </c>
      <c r="N16" s="92" t="str">
        <f t="shared" si="3"/>
        <v>Subir a Nivel 2 — consolidar en posición compartida</v>
      </c>
    </row>
    <row r="17" spans="1:14" x14ac:dyDescent="0.35">
      <c r="A17" s="84" t="str">
        <f>'Matriz Layout Camara'!D10</f>
        <v>POSTRE DELICIA</v>
      </c>
      <c r="B17" s="85" t="str">
        <f>'Matriz Layout Camara'!E10</f>
        <v>Rutina</v>
      </c>
      <c r="C17" s="84" t="str">
        <f>"Rack "&amp;'Matriz Layout Camara'!J10&amp;"-Niv "&amp;'Matriz Layout Camara'!K10&amp;"-Pos "&amp;'Matriz Layout Camara'!L10</f>
        <v>Rack 2-Niv 1-Pos 6</v>
      </c>
      <c r="D17" s="86">
        <f>'Matriz Layout Camara'!AG10</f>
        <v>2.5303994596881192</v>
      </c>
      <c r="E17" s="87">
        <f>'Matriz Layout Camara'!R10</f>
        <v>269.36026936026934</v>
      </c>
      <c r="F17" s="88">
        <f>'Matriz Layout Camara'!Z10</f>
        <v>0.65319587628865972</v>
      </c>
      <c r="G17" s="89">
        <f>'Matriz Layout Camara'!T10</f>
        <v>177.93931990909093</v>
      </c>
      <c r="H17" s="85">
        <f t="shared" si="0"/>
        <v>1</v>
      </c>
      <c r="I17" s="90">
        <f>(H17-MIN(H9:H27))/(MAX(H9:H27)-MIN(H9:H27))</f>
        <v>0</v>
      </c>
      <c r="J17" s="90">
        <f>1-(D17-MIN(D9:D27))/(MAX(D9:D27)-MIN(D9:D27))</f>
        <v>0</v>
      </c>
      <c r="K17" s="90">
        <f>(E17-MIN(E9:E27))/(MAX(E9:E27)-MIN(E9:E27))</f>
        <v>3.0785126145217216E-2</v>
      </c>
      <c r="L17" s="91">
        <f t="shared" si="1"/>
        <v>6.1570252290434439E-3</v>
      </c>
      <c r="M17" s="85" t="str">
        <f t="shared" si="2"/>
        <v>Zona 3 - Bronce</v>
      </c>
      <c r="N17" s="92" t="str">
        <f t="shared" si="3"/>
        <v>Subir a Nivel 2 — consolidar en posición compartida</v>
      </c>
    </row>
    <row r="18" spans="1:14" x14ac:dyDescent="0.35">
      <c r="A18" s="84" t="str">
        <f>'Matriz Layout Camara'!D11</f>
        <v>BOMBON CROCANTE</v>
      </c>
      <c r="B18" s="85" t="str">
        <f>'Matriz Layout Camara'!E11</f>
        <v>Criticos</v>
      </c>
      <c r="C18" s="84" t="str">
        <f>"Rack "&amp;'Matriz Layout Camara'!J11&amp;"-Niv "&amp;'Matriz Layout Camara'!K11&amp;"-Pos "&amp;'Matriz Layout Camara'!L11</f>
        <v>Rack 2-Niv 1-Pos 2</v>
      </c>
      <c r="D18" s="86">
        <f>'Matriz Layout Camara'!AG11</f>
        <v>1.8285459031226856</v>
      </c>
      <c r="E18" s="87">
        <f>'Matriz Layout Camara'!R11</f>
        <v>277.46810355506005</v>
      </c>
      <c r="F18" s="88">
        <f>'Matriz Layout Camara'!Z11</f>
        <v>0.87750000000000006</v>
      </c>
      <c r="G18" s="89">
        <f>'Matriz Layout Camara'!T11</f>
        <v>489.33312975000007</v>
      </c>
      <c r="H18" s="85">
        <f t="shared" si="0"/>
        <v>3</v>
      </c>
      <c r="I18" s="90">
        <f>(H18-MIN(H9:H27))/(MAX(H9:H27)-MIN(H9:H27))</f>
        <v>1</v>
      </c>
      <c r="J18" s="90">
        <f>1-(D18-MIN(D9:D27))/(MAX(D9:D27)-MIN(D9:D27))</f>
        <v>0.47666054560250792</v>
      </c>
      <c r="K18" s="90">
        <f>(E18-MIN(E9:E27))/(MAX(E9:E27)-MIN(E9:E27))</f>
        <v>4.713465573129675E-2</v>
      </c>
      <c r="L18" s="91">
        <f t="shared" si="1"/>
        <v>0.65242509482701172</v>
      </c>
      <c r="M18" s="85" t="str">
        <f t="shared" si="2"/>
        <v>Zona 1 - Oro</v>
      </c>
      <c r="N18" s="92" t="str">
        <f t="shared" si="3"/>
        <v>Mantener en Nivel 1 — posición dedicada</v>
      </c>
    </row>
    <row r="19" spans="1:14" ht="28" x14ac:dyDescent="0.35">
      <c r="A19" s="84" t="str">
        <f>'Matriz Layout Camara'!D12</f>
        <v>BOMBON SECRETO</v>
      </c>
      <c r="B19" s="85" t="str">
        <f>'Matriz Layout Camara'!E12</f>
        <v>Estrategicos Financieros</v>
      </c>
      <c r="C19" s="84" t="str">
        <f>"Rack "&amp;'Matriz Layout Camara'!J12&amp;"-Niv "&amp;'Matriz Layout Camara'!K12&amp;"-Pos "&amp;'Matriz Layout Camara'!L12</f>
        <v>Rack 2-Niv 1-Pos 4</v>
      </c>
      <c r="D19" s="86">
        <f>'Matriz Layout Camara'!AG12</f>
        <v>1.868456543578481</v>
      </c>
      <c r="E19" s="87">
        <f>'Matriz Layout Camara'!R12</f>
        <v>274.09700722394223</v>
      </c>
      <c r="F19" s="88">
        <f>'Matriz Layout Camara'!Z12</f>
        <v>0.86931818181818177</v>
      </c>
      <c r="G19" s="89">
        <f>'Matriz Layout Camara'!T12</f>
        <v>444.84829977272733</v>
      </c>
      <c r="H19" s="85">
        <f t="shared" si="0"/>
        <v>2</v>
      </c>
      <c r="I19" s="90">
        <f>(H19-MIN(H9:H27))/(MAX(H9:H27)-MIN(H9:H27))</f>
        <v>0.5</v>
      </c>
      <c r="J19" s="90">
        <f>1-(D19-MIN(D9:D27))/(MAX(D9:D27)-MIN(D9:D27))</f>
        <v>0.44955542163890028</v>
      </c>
      <c r="K19" s="90">
        <f>(E19-MIN(E9:E27))/(MAX(E9:E27)-MIN(E9:E27))</f>
        <v>4.0336805913580076E-2</v>
      </c>
      <c r="L19" s="91">
        <f t="shared" si="1"/>
        <v>0.39293398767438609</v>
      </c>
      <c r="M19" s="85" t="str">
        <f t="shared" si="2"/>
        <v>Zona 2 - Plata</v>
      </c>
      <c r="N19" s="92" t="str">
        <f t="shared" si="3"/>
        <v>Mantener en Nivel 1 — posición dedicada</v>
      </c>
    </row>
    <row r="20" spans="1:14" x14ac:dyDescent="0.35">
      <c r="A20" s="84" t="str">
        <f>'Matriz Layout Camara'!D13</f>
        <v>FAMILIARES_1</v>
      </c>
      <c r="B20" s="85" t="str">
        <f>'Matriz Layout Camara'!E13</f>
        <v>Criticos</v>
      </c>
      <c r="C20" s="84" t="str">
        <f>"Rack "&amp;'Matriz Layout Camara'!J13&amp;"-Niv "&amp;'Matriz Layout Camara'!K13&amp;"-Pos "&amp;'Matriz Layout Camara'!L13</f>
        <v>Rack 2-Niv 2-Pos 1</v>
      </c>
      <c r="D20" s="86">
        <f>'Matriz Layout Camara'!AG13</f>
        <v>1.6111422973568919</v>
      </c>
      <c r="E20" s="87">
        <f>'Matriz Layout Camara'!R13</f>
        <v>410.25641025641033</v>
      </c>
      <c r="F20" s="88">
        <f>'Matriz Layout Camara'!Z13</f>
        <v>0.67356076759061834</v>
      </c>
      <c r="G20" s="89">
        <f>'Matriz Layout Camara'!T13</f>
        <v>200.18173489772732</v>
      </c>
      <c r="H20" s="85">
        <f t="shared" si="0"/>
        <v>3</v>
      </c>
      <c r="I20" s="90">
        <f>(H20-MIN(H9:H27))/(MAX(H9:H27)-MIN(H9:H27))</f>
        <v>1</v>
      </c>
      <c r="J20" s="90">
        <f>1-(D20-MIN(D9:D27))/(MAX(D9:D27)-MIN(D9:D27))</f>
        <v>0.62430918308663619</v>
      </c>
      <c r="K20" s="90">
        <f>(E20-MIN(E9:E27))/(MAX(E9:E27)-MIN(E9:E27))</f>
        <v>0.3149036180633108</v>
      </c>
      <c r="L20" s="91">
        <f t="shared" si="1"/>
        <v>0.750273478538653</v>
      </c>
      <c r="M20" s="85" t="str">
        <f t="shared" si="2"/>
        <v>Zona 1 - Oro</v>
      </c>
      <c r="N20" s="92" t="str">
        <f t="shared" si="3"/>
        <v>Bajar a Nivel 1 — posición dedicada cerca de puerta</v>
      </c>
    </row>
    <row r="21" spans="1:14" x14ac:dyDescent="0.35">
      <c r="A21" s="84" t="str">
        <f>'Matriz Layout Camara'!D14</f>
        <v>FAMILIARES_2</v>
      </c>
      <c r="B21" s="85" t="str">
        <f>'Matriz Layout Camara'!E14</f>
        <v>Criticos</v>
      </c>
      <c r="C21" s="84" t="str">
        <f>"Rack "&amp;'Matriz Layout Camara'!J14&amp;"-Niv "&amp;'Matriz Layout Camara'!K14&amp;"-Pos "&amp;'Matriz Layout Camara'!L14</f>
        <v>Rack 2-Niv 2-Pos 2</v>
      </c>
      <c r="D21" s="86">
        <f>'Matriz Layout Camara'!AG14</f>
        <v>1.6111422973568919</v>
      </c>
      <c r="E21" s="87">
        <f>'Matriz Layout Camara'!R14</f>
        <v>410.25641025641033</v>
      </c>
      <c r="F21" s="88">
        <f>'Matriz Layout Camara'!Z14</f>
        <v>0.67356076759061834</v>
      </c>
      <c r="G21" s="89">
        <f>'Matriz Layout Camara'!T14</f>
        <v>200.18173489772732</v>
      </c>
      <c r="H21" s="85">
        <f t="shared" si="0"/>
        <v>3</v>
      </c>
      <c r="I21" s="90">
        <f>(H21-MIN(H9:H27))/(MAX(H9:H27)-MIN(H9:H27))</f>
        <v>1</v>
      </c>
      <c r="J21" s="90">
        <f>1-(D21-MIN(D9:D27))/(MAX(D9:D27)-MIN(D9:D27))</f>
        <v>0.62430918308663619</v>
      </c>
      <c r="K21" s="90">
        <f>(E21-MIN(E9:E27))/(MAX(E9:E27)-MIN(E9:E27))</f>
        <v>0.3149036180633108</v>
      </c>
      <c r="L21" s="91">
        <f t="shared" si="1"/>
        <v>0.750273478538653</v>
      </c>
      <c r="M21" s="85" t="str">
        <f t="shared" si="2"/>
        <v>Zona 1 - Oro</v>
      </c>
      <c r="N21" s="92" t="str">
        <f t="shared" si="3"/>
        <v>Bajar a Nivel 1 — posición dedicada cerca de puerta</v>
      </c>
    </row>
    <row r="22" spans="1:14" x14ac:dyDescent="0.35">
      <c r="A22" s="84" t="str">
        <f>'Matriz Layout Camara'!D15</f>
        <v>FAMILIARES_2</v>
      </c>
      <c r="B22" s="85" t="str">
        <f>'Matriz Layout Camara'!E15</f>
        <v>Criticos</v>
      </c>
      <c r="C22" s="84" t="str">
        <f>"Rack "&amp;'Matriz Layout Camara'!J15&amp;"-Niv "&amp;'Matriz Layout Camara'!K15&amp;"-Pos "&amp;'Matriz Layout Camara'!L15</f>
        <v>Rack 2-Niv 2-Pos 3</v>
      </c>
      <c r="D22" s="86">
        <f>'Matriz Layout Camara'!AG15</f>
        <v>1.6111422973568919</v>
      </c>
      <c r="E22" s="87">
        <f>'Matriz Layout Camara'!R15</f>
        <v>410.25641025641033</v>
      </c>
      <c r="F22" s="88">
        <f>'Matriz Layout Camara'!Z15</f>
        <v>0.67356076759061834</v>
      </c>
      <c r="G22" s="89">
        <f>'Matriz Layout Camara'!T15</f>
        <v>200.18173489772732</v>
      </c>
      <c r="H22" s="85">
        <f t="shared" si="0"/>
        <v>3</v>
      </c>
      <c r="I22" s="90">
        <f>(H22-MIN(H9:H27))/(MAX(H9:H27)-MIN(H9:H27))</f>
        <v>1</v>
      </c>
      <c r="J22" s="90">
        <f>1-(D22-MIN(D9:D27))/(MAX(D9:D27)-MIN(D9:D27))</f>
        <v>0.62430918308663619</v>
      </c>
      <c r="K22" s="90">
        <f>(E22-MIN(E9:E27))/(MAX(E9:E27)-MIN(E9:E27))</f>
        <v>0.3149036180633108</v>
      </c>
      <c r="L22" s="91">
        <f t="shared" si="1"/>
        <v>0.750273478538653</v>
      </c>
      <c r="M22" s="85" t="str">
        <f t="shared" si="2"/>
        <v>Zona 1 - Oro</v>
      </c>
      <c r="N22" s="92" t="str">
        <f t="shared" si="3"/>
        <v>Bajar a Nivel 1 — posición dedicada cerca de puerta</v>
      </c>
    </row>
    <row r="23" spans="1:14" x14ac:dyDescent="0.35">
      <c r="A23" s="84" t="str">
        <f>'Matriz Layout Camara'!D16</f>
        <v>FAMILIARES_3</v>
      </c>
      <c r="B23" s="85" t="str">
        <f>'Matriz Layout Camara'!E16</f>
        <v>Criticos</v>
      </c>
      <c r="C23" s="84" t="str">
        <f>"Rack "&amp;'Matriz Layout Camara'!J16&amp;"-Niv "&amp;'Matriz Layout Camara'!K16&amp;"-Pos "&amp;'Matriz Layout Camara'!L16</f>
        <v>Rack 2-Niv 2-Pos 4</v>
      </c>
      <c r="D23" s="86">
        <f>'Matriz Layout Camara'!AG16</f>
        <v>1.6111422973568919</v>
      </c>
      <c r="E23" s="87">
        <f>'Matriz Layout Camara'!R16</f>
        <v>410.25641025641033</v>
      </c>
      <c r="F23" s="88">
        <f>'Matriz Layout Camara'!Z16</f>
        <v>0.67356076759061834</v>
      </c>
      <c r="G23" s="89">
        <f>'Matriz Layout Camara'!T16</f>
        <v>200.18173489772732</v>
      </c>
      <c r="H23" s="85">
        <f t="shared" si="0"/>
        <v>3</v>
      </c>
      <c r="I23" s="90">
        <f>(H23-MIN(H9:H27))/(MAX(H9:H27)-MIN(H9:H27))</f>
        <v>1</v>
      </c>
      <c r="J23" s="90">
        <f>1-(D23-MIN(D9:D27))/(MAX(D9:D27)-MIN(D9:D27))</f>
        <v>0.62430918308663619</v>
      </c>
      <c r="K23" s="90">
        <f>(E23-MIN(E9:E27))/(MAX(E9:E27)-MIN(E9:E27))</f>
        <v>0.3149036180633108</v>
      </c>
      <c r="L23" s="91">
        <f t="shared" si="1"/>
        <v>0.750273478538653</v>
      </c>
      <c r="M23" s="85" t="str">
        <f t="shared" si="2"/>
        <v>Zona 1 - Oro</v>
      </c>
      <c r="N23" s="92" t="str">
        <f t="shared" si="3"/>
        <v>Bajar a Nivel 1 — posición dedicada cerca de puerta</v>
      </c>
    </row>
    <row r="24" spans="1:14" x14ac:dyDescent="0.35">
      <c r="A24" s="84" t="str">
        <f>'Matriz Layout Camara'!D17</f>
        <v>FAMILIARES_3</v>
      </c>
      <c r="B24" s="85" t="str">
        <f>'Matriz Layout Camara'!E17</f>
        <v>Criticos</v>
      </c>
      <c r="C24" s="84" t="str">
        <f>"Rack "&amp;'Matriz Layout Camara'!J17&amp;"-Niv "&amp;'Matriz Layout Camara'!K17&amp;"-Pos "&amp;'Matriz Layout Camara'!L17</f>
        <v>Rack 2-Niv 2-Pos 5</v>
      </c>
      <c r="D24" s="86">
        <f>'Matriz Layout Camara'!AG17</f>
        <v>1.6111422973568919</v>
      </c>
      <c r="E24" s="87">
        <f>'Matriz Layout Camara'!R17</f>
        <v>410.25641025641033</v>
      </c>
      <c r="F24" s="88">
        <f>'Matriz Layout Camara'!Z17</f>
        <v>0.67356076759061834</v>
      </c>
      <c r="G24" s="89">
        <f>'Matriz Layout Camara'!T17</f>
        <v>200.18173489772732</v>
      </c>
      <c r="H24" s="85">
        <f t="shared" si="0"/>
        <v>3</v>
      </c>
      <c r="I24" s="90">
        <f>(H24-MIN(H9:H27))/(MAX(H9:H27)-MIN(H9:H27))</f>
        <v>1</v>
      </c>
      <c r="J24" s="90">
        <f>1-(D24-MIN(D9:D27))/(MAX(D9:D27)-MIN(D9:D27))</f>
        <v>0.62430918308663619</v>
      </c>
      <c r="K24" s="90">
        <f>(E24-MIN(E9:E27))/(MAX(E9:E27)-MIN(E9:E27))</f>
        <v>0.3149036180633108</v>
      </c>
      <c r="L24" s="91">
        <f t="shared" si="1"/>
        <v>0.750273478538653</v>
      </c>
      <c r="M24" s="85" t="str">
        <f t="shared" si="2"/>
        <v>Zona 1 - Oro</v>
      </c>
      <c r="N24" s="92" t="str">
        <f t="shared" si="3"/>
        <v>Bajar a Nivel 1 — posición dedicada cerca de puerta</v>
      </c>
    </row>
    <row r="25" spans="1:14" x14ac:dyDescent="0.35">
      <c r="A25" s="84" t="str">
        <f>'Matriz Layout Camara'!D18</f>
        <v>FAMILIARES_4</v>
      </c>
      <c r="B25" s="85" t="str">
        <f>'Matriz Layout Camara'!E18</f>
        <v>Criticos</v>
      </c>
      <c r="C25" s="84" t="str">
        <f>"Rack "&amp;'Matriz Layout Camara'!J18&amp;"-Niv "&amp;'Matriz Layout Camara'!K18&amp;"-Pos "&amp;'Matriz Layout Camara'!L18</f>
        <v>Rack 2-Niv 2-Pos 6</v>
      </c>
      <c r="D25" s="86">
        <f>'Matriz Layout Camara'!AG18</f>
        <v>1.6111422973568919</v>
      </c>
      <c r="E25" s="87">
        <f>'Matriz Layout Camara'!R18</f>
        <v>410.25641025641033</v>
      </c>
      <c r="F25" s="88">
        <f>'Matriz Layout Camara'!Z18</f>
        <v>0.67356076759061834</v>
      </c>
      <c r="G25" s="89">
        <f>'Matriz Layout Camara'!T18</f>
        <v>200.18173489772732</v>
      </c>
      <c r="H25" s="85">
        <f t="shared" si="0"/>
        <v>3</v>
      </c>
      <c r="I25" s="90">
        <f>(H25-MIN(H9:H27))/(MAX(H9:H27)-MIN(H9:H27))</f>
        <v>1</v>
      </c>
      <c r="J25" s="90">
        <f>1-(D25-MIN(D9:D27))/(MAX(D9:D27)-MIN(D9:D27))</f>
        <v>0.62430918308663619</v>
      </c>
      <c r="K25" s="90">
        <f>(E25-MIN(E9:E27))/(MAX(E9:E27)-MIN(E9:E27))</f>
        <v>0.3149036180633108</v>
      </c>
      <c r="L25" s="91">
        <f t="shared" si="1"/>
        <v>0.750273478538653</v>
      </c>
      <c r="M25" s="85" t="str">
        <f t="shared" si="2"/>
        <v>Zona 1 - Oro</v>
      </c>
      <c r="N25" s="92" t="str">
        <f t="shared" si="3"/>
        <v>Bajar a Nivel 1 — posición dedicada cerca de puerta</v>
      </c>
    </row>
    <row r="26" spans="1:14" ht="28.5" x14ac:dyDescent="0.35">
      <c r="A26" s="84" t="str">
        <f>'Matriz Layout Camara'!D19</f>
        <v>TENTACIONES_1 (Dulce de Leche Granizado/Chocolate con Almendras/Limon/Granizado/Cookie)</v>
      </c>
      <c r="B26" s="85" t="str">
        <f>'Matriz Layout Camara'!E19</f>
        <v>Criticos</v>
      </c>
      <c r="C26" s="84" t="str">
        <f>"Rack "&amp;'Matriz Layout Camara'!J19&amp;"-Niv "&amp;'Matriz Layout Camara'!K19&amp;"-Pos "&amp;'Matriz Layout Camara'!L19</f>
        <v>Rack 3-Niv 1-Pos 6</v>
      </c>
      <c r="D26" s="86">
        <f>'Matriz Layout Camara'!AG19</f>
        <v>1.4106140037088433</v>
      </c>
      <c r="E26" s="87">
        <f>'Matriz Layout Camara'!R19</f>
        <v>387.18728080430202</v>
      </c>
      <c r="F26" s="88">
        <f>'Matriz Layout Camara'!Z19</f>
        <v>0.35744265948556037</v>
      </c>
      <c r="G26" s="89">
        <f>'Matriz Layout Camara'!T19</f>
        <v>735.67740821271434</v>
      </c>
      <c r="H26" s="85">
        <f t="shared" si="0"/>
        <v>3</v>
      </c>
      <c r="I26" s="90">
        <f>(H26-MIN(H9:H27))/(MAX(H9:H27)-MIN(H9:H27))</f>
        <v>1</v>
      </c>
      <c r="J26" s="90">
        <f>1-(D26-MIN(D9:D27))/(MAX(D9:D27)-MIN(D9:D27))</f>
        <v>0.76049703162695703</v>
      </c>
      <c r="K26" s="90">
        <f>(E26-MIN(E9:E27))/(MAX(E9:E27)-MIN(E9:E27))</f>
        <v>0.26838448540212795</v>
      </c>
      <c r="L26" s="91">
        <f t="shared" si="1"/>
        <v>0.78182600656851264</v>
      </c>
      <c r="M26" s="85" t="str">
        <f t="shared" si="2"/>
        <v>Zona 1 - Oro</v>
      </c>
      <c r="N26" s="92" t="str">
        <f t="shared" si="3"/>
        <v>Mantener posición (misma) — REDENSIFICAR estibado a &gt;=88% util. volumétrica</v>
      </c>
    </row>
    <row r="27" spans="1:14" ht="28.5" x14ac:dyDescent="0.35">
      <c r="A27" s="84" t="str">
        <f>'Matriz Layout Camara'!D20</f>
        <v>TENTACIONES_2 (Toddy galletitas/Frutilla/Crema Americana/Chocolate/Menta Granizada/Vainilla/Cadbury y Cocolate con Almendras)</v>
      </c>
      <c r="B27" s="85" t="str">
        <f>'Matriz Layout Camara'!E20</f>
        <v>Rutina</v>
      </c>
      <c r="C27" s="84" t="str">
        <f>"Rack "&amp;'Matriz Layout Camara'!J20&amp;"-Niv "&amp;'Matriz Layout Camara'!K20&amp;"-Pos "&amp;'Matriz Layout Camara'!L20</f>
        <v>Rack 3-Niv 2-Pos 6</v>
      </c>
      <c r="D27" s="86">
        <f>'Matriz Layout Camara'!AG20</f>
        <v>1.0579605027816326</v>
      </c>
      <c r="E27" s="87">
        <f>'Matriz Layout Camara'!R20</f>
        <v>387.18728080430202</v>
      </c>
      <c r="F27" s="88">
        <f>'Matriz Layout Camara'!Z20</f>
        <v>0.47659021264741386</v>
      </c>
      <c r="G27" s="89">
        <f>'Matriz Layout Camara'!T20</f>
        <v>980.90321095028582</v>
      </c>
      <c r="H27" s="85">
        <f t="shared" si="0"/>
        <v>1</v>
      </c>
      <c r="I27" s="90">
        <f>(H27-MIN(H9:H27))/(MAX(H9:H27)-MIN(H9:H27))</f>
        <v>0</v>
      </c>
      <c r="J27" s="90">
        <f>1-(D27-MIN(D9:D27))/(MAX(D9:D27)-MIN(D9:D27))</f>
        <v>1</v>
      </c>
      <c r="K27" s="90">
        <f>(E27-MIN(E9:E27))/(MAX(E9:E27)-MIN(E9:E27))</f>
        <v>0.26838448540212795</v>
      </c>
      <c r="L27" s="91">
        <f t="shared" si="1"/>
        <v>0.3536768970804256</v>
      </c>
      <c r="M27" s="85" t="str">
        <f t="shared" si="2"/>
        <v>Zona 2 - Plata</v>
      </c>
      <c r="N27" s="92" t="str">
        <f t="shared" si="3"/>
        <v>Mantener posición (misma) — REDENSIFICAR estibado a &gt;=88% util. volumétrica</v>
      </c>
    </row>
    <row r="30" spans="1:14" ht="15" customHeight="1" x14ac:dyDescent="0.35">
      <c r="A30" s="93" t="s">
        <v>95</v>
      </c>
    </row>
    <row r="31" spans="1:14" ht="15" customHeight="1" x14ac:dyDescent="0.35">
      <c r="A31" s="94" t="s">
        <v>96</v>
      </c>
      <c r="D31" s="95">
        <f>SUM(G9:G27)</f>
        <v>15613.641504063</v>
      </c>
    </row>
    <row r="32" spans="1:14" ht="15" customHeight="1" x14ac:dyDescent="0.35">
      <c r="A32" s="94" t="s">
        <v>97</v>
      </c>
      <c r="D32" s="95">
        <f>SUMIF(A9:A27,"GRANEL A",G9:G27)+SUMIF(A9:A27,"GRANEL B",G9:G27)+SUMPRODUCT(ISNUMBER(SEARCH("TENTACIONES",A9:A27))*G9:G27)</f>
        <v>11698.976466063001</v>
      </c>
    </row>
    <row r="33" spans="1:8" ht="15" customHeight="1" x14ac:dyDescent="0.35">
      <c r="A33" s="94" t="s">
        <v>98</v>
      </c>
      <c r="D33" s="96">
        <f>D32/D31</f>
        <v>0.74927917763570273</v>
      </c>
    </row>
    <row r="34" spans="1:8" ht="15" customHeight="1" x14ac:dyDescent="0.35">
      <c r="A34" s="94" t="s">
        <v>99</v>
      </c>
      <c r="D34" s="96">
        <f>AVERAGE(SUMIF(A9:A27,"GRANEL A",F9:F27),SUMIF(A9:A27,"GRANEL B",F9:F27),SUMPRODUCT(ISNUMBER(SEARCH("TENTACIONES_1",A9:A27))*F9:F27),SUMPRODUCT(ISNUMBER(SEARCH("TENTACIONES_2",A9:A27))*F9:F27))</f>
        <v>0.51941915849399956</v>
      </c>
    </row>
    <row r="35" spans="1:8" ht="15" customHeight="1" x14ac:dyDescent="0.35">
      <c r="A35" s="94" t="s">
        <v>100</v>
      </c>
      <c r="D35" s="97">
        <v>0.88</v>
      </c>
    </row>
    <row r="36" spans="1:8" ht="15" customHeight="1" x14ac:dyDescent="0.35">
      <c r="A36" s="94" t="s">
        <v>101</v>
      </c>
      <c r="C36" s="80" t="s">
        <v>102</v>
      </c>
      <c r="D36" s="97">
        <v>0.05</v>
      </c>
      <c r="E36" s="80" t="s">
        <v>103</v>
      </c>
      <c r="F36" s="97">
        <v>0.1</v>
      </c>
      <c r="G36" s="151" t="s">
        <v>312</v>
      </c>
    </row>
    <row r="37" spans="1:8" ht="15" customHeight="1" x14ac:dyDescent="0.35">
      <c r="A37" s="98" t="s">
        <v>104</v>
      </c>
      <c r="C37" s="80" t="s">
        <v>102</v>
      </c>
      <c r="D37" s="95">
        <f>D32*D36</f>
        <v>584.94882330315011</v>
      </c>
      <c r="E37" s="80" t="s">
        <v>103</v>
      </c>
      <c r="F37" s="95">
        <f>D32*F36</f>
        <v>1169.8976466063002</v>
      </c>
      <c r="G37" s="152">
        <f>+(D37+F37)/2</f>
        <v>877.4232349547251</v>
      </c>
      <c r="H37" t="s">
        <v>450</v>
      </c>
    </row>
    <row r="40" spans="1:8" ht="15" customHeight="1" x14ac:dyDescent="0.35">
      <c r="A40" s="93" t="s">
        <v>105</v>
      </c>
    </row>
    <row r="41" spans="1:8" ht="26.25" customHeight="1" x14ac:dyDescent="0.35">
      <c r="A41" s="83" t="s">
        <v>106</v>
      </c>
      <c r="B41" s="83" t="s">
        <v>107</v>
      </c>
      <c r="C41" s="83" t="s">
        <v>108</v>
      </c>
    </row>
    <row r="42" spans="1:8" ht="15" customHeight="1" x14ac:dyDescent="0.35">
      <c r="A42" s="85" t="s">
        <v>109</v>
      </c>
      <c r="B42" s="89">
        <f>SUMIF($M$9:$M$27,A42,$G$9:$G$27)</f>
        <v>12853.345094021808</v>
      </c>
      <c r="C42" s="85">
        <f>COUNTIF($M$9:$M$27,A42)</f>
        <v>11</v>
      </c>
    </row>
    <row r="43" spans="1:8" ht="15" customHeight="1" x14ac:dyDescent="0.35">
      <c r="A43" s="85" t="s">
        <v>110</v>
      </c>
      <c r="B43" s="89">
        <f>SUMIF($M$9:$M$27,A43,$G$9:$G$27)</f>
        <v>1870.5998104957405</v>
      </c>
      <c r="C43" s="85">
        <f>COUNTIF($M$9:$M$27,A43)</f>
        <v>3</v>
      </c>
    </row>
    <row r="44" spans="1:8" ht="15" customHeight="1" x14ac:dyDescent="0.35">
      <c r="A44" s="85" t="s">
        <v>111</v>
      </c>
      <c r="B44" s="89">
        <f>SUMIF($M$9:$M$27,A44,$G$9:$G$27)</f>
        <v>889.69659954545466</v>
      </c>
      <c r="C44" s="85">
        <f>COUNTIF($M$9:$M$27,A44)</f>
        <v>5</v>
      </c>
    </row>
    <row r="47" spans="1:8" ht="15" customHeight="1" x14ac:dyDescent="0.35">
      <c r="A47" s="99" t="s">
        <v>112</v>
      </c>
    </row>
    <row r="48" spans="1:8" ht="15" customHeight="1" x14ac:dyDescent="0.35">
      <c r="A48" s="80" t="s">
        <v>113</v>
      </c>
    </row>
    <row r="49" spans="1:1" ht="15" customHeight="1" x14ac:dyDescent="0.35">
      <c r="A49" s="80" t="s">
        <v>114</v>
      </c>
    </row>
    <row r="50" spans="1:1" ht="15" customHeight="1" x14ac:dyDescent="0.35">
      <c r="A50" s="80" t="s">
        <v>115</v>
      </c>
    </row>
    <row r="51" spans="1:1" ht="15" customHeight="1" x14ac:dyDescent="0.35">
      <c r="A51" s="80" t="s">
        <v>116</v>
      </c>
    </row>
    <row r="52" spans="1:1" ht="15" customHeight="1" x14ac:dyDescent="0.35">
      <c r="A52" s="80" t="s">
        <v>117</v>
      </c>
    </row>
    <row r="53" spans="1:1" ht="15" customHeight="1" x14ac:dyDescent="0.35">
      <c r="A53" s="80" t="s">
        <v>118</v>
      </c>
    </row>
    <row r="54" spans="1:1" ht="15" customHeight="1" x14ac:dyDescent="0.35">
      <c r="A54" s="80" t="s">
        <v>119</v>
      </c>
    </row>
    <row r="55" spans="1:1" ht="15" customHeight="1" x14ac:dyDescent="0.35">
      <c r="A55" s="80" t="s">
        <v>120</v>
      </c>
    </row>
  </sheetData>
  <conditionalFormatting sqref="M9:M27">
    <cfRule type="expression" dxfId="2" priority="2">
      <formula>$M9="Zona 1 - Oro"</formula>
    </cfRule>
    <cfRule type="expression" dxfId="1" priority="3">
      <formula>$M9="Zona 2 - Plata"</formula>
    </cfRule>
    <cfRule type="expression" dxfId="0" priority="4">
      <formula>$M9="Zona 3 - Bronce"</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0"/>
  <sheetViews>
    <sheetView topLeftCell="A18" zoomScaleNormal="100" workbookViewId="0">
      <selection activeCell="E6" sqref="E6:F7"/>
    </sheetView>
  </sheetViews>
  <sheetFormatPr baseColWidth="10" defaultColWidth="8.6328125" defaultRowHeight="14.5" x14ac:dyDescent="0.35"/>
  <cols>
    <col min="1" max="1" width="42" customWidth="1"/>
    <col min="2" max="2" width="16" customWidth="1"/>
    <col min="3" max="5" width="13" customWidth="1"/>
    <col min="6" max="6" width="15" customWidth="1"/>
    <col min="7" max="8" width="16" customWidth="1"/>
  </cols>
  <sheetData>
    <row r="1" spans="1:10" ht="19.5" customHeight="1" x14ac:dyDescent="0.4">
      <c r="A1" s="100" t="s">
        <v>121</v>
      </c>
    </row>
    <row r="2" spans="1:10" ht="15" customHeight="1" x14ac:dyDescent="0.35">
      <c r="A2" s="101" t="s">
        <v>122</v>
      </c>
    </row>
    <row r="4" spans="1:10" ht="15" customHeight="1" x14ac:dyDescent="0.35">
      <c r="A4" s="198" t="s">
        <v>123</v>
      </c>
      <c r="B4" s="198"/>
      <c r="C4" s="198" t="s">
        <v>124</v>
      </c>
      <c r="D4" s="198"/>
      <c r="E4" s="198" t="s">
        <v>125</v>
      </c>
      <c r="F4" s="198"/>
      <c r="G4" s="198" t="s">
        <v>126</v>
      </c>
      <c r="H4" s="198"/>
    </row>
    <row r="5" spans="1:10" ht="15" customHeight="1" x14ac:dyDescent="0.35">
      <c r="A5" s="198"/>
      <c r="B5" s="198"/>
      <c r="C5" s="198"/>
      <c r="D5" s="198"/>
      <c r="E5" s="198"/>
      <c r="F5" s="198"/>
      <c r="G5" s="198"/>
      <c r="H5" s="198"/>
    </row>
    <row r="6" spans="1:10" ht="28" customHeight="1" x14ac:dyDescent="0.35">
      <c r="A6" s="199">
        <f>'Propuesta Reubicacion en camara'!D33</f>
        <v>0.74927917763570273</v>
      </c>
      <c r="B6" s="199"/>
      <c r="C6" s="200" t="str">
        <f>"USD "&amp;TEXT(G25,"#,##0")&amp;" - "&amp;TEXT(H25,"#,##0")</f>
        <v>USD 654 - 982</v>
      </c>
      <c r="D6" s="200"/>
      <c r="E6" s="201" t="str">
        <f>"USD "&amp;TEXT(G25/D12,"#,##0")&amp;" - "&amp;TEXT(H25/D12,"#,##0")</f>
        <v>USD 13,087 - 19,630</v>
      </c>
      <c r="F6" s="201"/>
      <c r="G6" s="201" t="s">
        <v>127</v>
      </c>
      <c r="H6" s="201"/>
    </row>
    <row r="7" spans="1:10" ht="28" customHeight="1" x14ac:dyDescent="0.35">
      <c r="A7" s="199"/>
      <c r="B7" s="199"/>
      <c r="C7" s="200"/>
      <c r="D7" s="200"/>
      <c r="E7" s="201"/>
      <c r="F7" s="201"/>
      <c r="G7" s="201"/>
      <c r="H7" s="201"/>
    </row>
    <row r="10" spans="1:10" ht="15" customHeight="1" x14ac:dyDescent="0.35">
      <c r="A10" s="93" t="s">
        <v>128</v>
      </c>
    </row>
    <row r="11" spans="1:10" ht="15" customHeight="1" x14ac:dyDescent="0.35">
      <c r="A11" s="102" t="s">
        <v>129</v>
      </c>
      <c r="D11" s="103">
        <v>0.32300000000000001</v>
      </c>
    </row>
    <row r="12" spans="1:10" ht="15" customHeight="1" x14ac:dyDescent="0.35">
      <c r="A12" s="102" t="s">
        <v>130</v>
      </c>
      <c r="D12" s="104">
        <v>0.05</v>
      </c>
    </row>
    <row r="13" spans="1:10" ht="15" customHeight="1" x14ac:dyDescent="0.35">
      <c r="A13" s="102" t="s">
        <v>131</v>
      </c>
      <c r="D13" s="97">
        <v>0.08</v>
      </c>
    </row>
    <row r="14" spans="1:10" ht="15" customHeight="1" x14ac:dyDescent="0.35">
      <c r="A14" s="102" t="s">
        <v>132</v>
      </c>
      <c r="D14" s="97">
        <v>0.12</v>
      </c>
    </row>
    <row r="15" spans="1:10" ht="15" customHeight="1" x14ac:dyDescent="0.35">
      <c r="A15" s="102" t="s">
        <v>133</v>
      </c>
      <c r="D15" s="105">
        <f>'Propuesta Reubicacion en camara'!D35</f>
        <v>0.88</v>
      </c>
    </row>
    <row r="16" spans="1:10" ht="15" customHeight="1" x14ac:dyDescent="0.35">
      <c r="A16" s="106"/>
      <c r="B16" s="106"/>
      <c r="C16" s="106"/>
      <c r="D16" s="106"/>
      <c r="E16" s="106"/>
      <c r="F16" s="106"/>
      <c r="G16" s="106"/>
      <c r="H16" s="106"/>
      <c r="I16" s="106"/>
      <c r="J16" s="106"/>
    </row>
    <row r="17" spans="1:10" ht="26.25" customHeight="1" x14ac:dyDescent="0.35">
      <c r="A17" s="93" t="s">
        <v>134</v>
      </c>
      <c r="B17" s="106"/>
      <c r="C17" s="106"/>
      <c r="D17" s="106"/>
      <c r="E17" s="106"/>
      <c r="F17" s="106"/>
      <c r="G17" s="106"/>
      <c r="H17" s="106"/>
      <c r="I17" s="106"/>
      <c r="J17" s="106"/>
    </row>
    <row r="18" spans="1:10" ht="15" customHeight="1" x14ac:dyDescent="0.35">
      <c r="A18" s="80" t="s">
        <v>135</v>
      </c>
      <c r="B18" s="107"/>
      <c r="C18" s="107"/>
      <c r="D18" s="107"/>
      <c r="E18" s="108"/>
      <c r="F18" s="106"/>
      <c r="G18" s="106"/>
      <c r="H18" s="106"/>
      <c r="I18" s="106"/>
      <c r="J18" s="106"/>
    </row>
    <row r="19" spans="1:10" ht="15" customHeight="1" x14ac:dyDescent="0.35">
      <c r="A19" s="106"/>
      <c r="B19" s="107"/>
      <c r="C19" s="107"/>
      <c r="D19" s="107"/>
      <c r="E19" s="108"/>
      <c r="F19" s="106"/>
      <c r="G19" s="106"/>
      <c r="H19" s="106"/>
      <c r="I19" s="106"/>
      <c r="J19" s="106"/>
    </row>
    <row r="20" spans="1:10" ht="42" x14ac:dyDescent="0.35">
      <c r="A20" s="83" t="s">
        <v>82</v>
      </c>
      <c r="B20" s="109" t="s">
        <v>136</v>
      </c>
      <c r="C20" s="109" t="s">
        <v>137</v>
      </c>
      <c r="D20" s="109" t="s">
        <v>138</v>
      </c>
      <c r="E20" s="110" t="s">
        <v>139</v>
      </c>
      <c r="F20" s="83" t="s">
        <v>140</v>
      </c>
      <c r="G20" s="83" t="s">
        <v>313</v>
      </c>
      <c r="H20" s="83" t="s">
        <v>314</v>
      </c>
      <c r="I20" s="106"/>
      <c r="J20" s="106"/>
    </row>
    <row r="21" spans="1:10" ht="15" customHeight="1" x14ac:dyDescent="0.35">
      <c r="A21" s="84" t="s">
        <v>36</v>
      </c>
      <c r="B21" s="89">
        <f>'Propuesta Reubicacion en camara'!G9</f>
        <v>5871.9975570000006</v>
      </c>
      <c r="C21" s="88">
        <f>'Propuesta Reubicacion en camara'!F9</f>
        <v>0.61402214022140222</v>
      </c>
      <c r="D21" s="88">
        <f>1-C21</f>
        <v>0.38597785977859778</v>
      </c>
      <c r="E21" s="88">
        <f>1-$D$15</f>
        <v>0.12</v>
      </c>
      <c r="F21" s="88">
        <f>(D21-E21)/D21</f>
        <v>0.6891013384321224</v>
      </c>
      <c r="G21" s="89">
        <f>B21*$D$13*F21</f>
        <v>323.71211006390831</v>
      </c>
      <c r="H21" s="89">
        <f>B21*$D$14*F21</f>
        <v>485.56816509586235</v>
      </c>
      <c r="I21" s="106"/>
      <c r="J21" s="106"/>
    </row>
    <row r="22" spans="1:10" ht="15" customHeight="1" x14ac:dyDescent="0.35">
      <c r="A22" s="84" t="s">
        <v>43</v>
      </c>
      <c r="B22" s="89">
        <f>'Propuesta Reubicacion en camara'!G10</f>
        <v>4110.3982899000002</v>
      </c>
      <c r="C22" s="88">
        <f>'Propuesta Reubicacion en camara'!F10</f>
        <v>0.62962162162162161</v>
      </c>
      <c r="D22" s="88">
        <f>1-C22</f>
        <v>0.37037837837837839</v>
      </c>
      <c r="E22" s="88">
        <f>1-$D$15</f>
        <v>0.12</v>
      </c>
      <c r="F22" s="88">
        <f>(D22-E22)/D22</f>
        <v>0.67600700525394053</v>
      </c>
      <c r="G22" s="89">
        <f>B22*$D$13*F22</f>
        <v>222.2926430684974</v>
      </c>
      <c r="H22" s="89">
        <f>B22*$D$14*F22</f>
        <v>333.43896460274613</v>
      </c>
      <c r="I22" s="106"/>
      <c r="J22" s="106"/>
    </row>
    <row r="23" spans="1:10" ht="15" customHeight="1" x14ac:dyDescent="0.35">
      <c r="A23" s="84" t="s">
        <v>141</v>
      </c>
      <c r="B23" s="89">
        <f>'Propuesta Reubicacion en camara'!G26</f>
        <v>735.67740821271434</v>
      </c>
      <c r="C23" s="88">
        <f>'Propuesta Reubicacion en camara'!F26</f>
        <v>0.35744265948556037</v>
      </c>
      <c r="D23" s="88">
        <f>1-C23</f>
        <v>0.64255734051443958</v>
      </c>
      <c r="E23" s="88">
        <f>1-$D$15</f>
        <v>0.12</v>
      </c>
      <c r="F23" s="88">
        <f>(D23-E23)/D23</f>
        <v>0.81324623899880055</v>
      </c>
      <c r="G23" s="89">
        <f>B23*$D$13*F23</f>
        <v>47.862950827630023</v>
      </c>
      <c r="H23" s="89">
        <f>B23*$D$14*F23</f>
        <v>71.794426241445024</v>
      </c>
      <c r="I23" s="106"/>
      <c r="J23" s="106"/>
    </row>
    <row r="24" spans="1:10" ht="15" customHeight="1" x14ac:dyDescent="0.35">
      <c r="A24" s="84" t="s">
        <v>142</v>
      </c>
      <c r="B24" s="89">
        <f>'Propuesta Reubicacion en camara'!G27</f>
        <v>980.90321095028582</v>
      </c>
      <c r="C24" s="88">
        <f>'Propuesta Reubicacion en camara'!F27</f>
        <v>0.47659021264741386</v>
      </c>
      <c r="D24" s="88">
        <f>1-C24</f>
        <v>0.52340978735258614</v>
      </c>
      <c r="E24" s="88">
        <f>1-$D$15</f>
        <v>0.12</v>
      </c>
      <c r="F24" s="88">
        <f>(D24-E24)/D24</f>
        <v>0.7707341305042047</v>
      </c>
      <c r="G24" s="89">
        <f>B24*$D$13*F24</f>
        <v>60.481246672044087</v>
      </c>
      <c r="H24" s="89">
        <f>B24*$D$14*F24</f>
        <v>90.721870008066119</v>
      </c>
      <c r="I24" s="106" t="s">
        <v>315</v>
      </c>
      <c r="J24" s="106"/>
    </row>
    <row r="25" spans="1:10" ht="15" customHeight="1" x14ac:dyDescent="0.35">
      <c r="A25" s="111" t="s">
        <v>143</v>
      </c>
      <c r="B25" s="112">
        <f>SUM(B21:B24)</f>
        <v>11698.976466063001</v>
      </c>
      <c r="C25" s="113"/>
      <c r="D25" s="113"/>
      <c r="E25" s="113"/>
      <c r="F25" s="113"/>
      <c r="G25" s="112">
        <f>SUM(G21:G24)</f>
        <v>654.34895063207989</v>
      </c>
      <c r="H25" s="112">
        <f>SUM(H21:H24)</f>
        <v>981.52342594811967</v>
      </c>
      <c r="I25" s="107">
        <f>(G25+H25)/2</f>
        <v>817.93618829009984</v>
      </c>
      <c r="J25" s="106"/>
    </row>
    <row r="26" spans="1:10" ht="15" customHeight="1" x14ac:dyDescent="0.35">
      <c r="A26" s="93" t="s">
        <v>144</v>
      </c>
    </row>
    <row r="27" spans="1:10" ht="26.25" customHeight="1" x14ac:dyDescent="0.35">
      <c r="A27" s="83" t="s">
        <v>82</v>
      </c>
      <c r="B27" s="83" t="s">
        <v>145</v>
      </c>
      <c r="C27" s="83" t="s">
        <v>146</v>
      </c>
      <c r="D27" s="83" t="s">
        <v>147</v>
      </c>
    </row>
    <row r="28" spans="1:10" ht="15" customHeight="1" x14ac:dyDescent="0.35">
      <c r="A28" s="114" t="s">
        <v>43</v>
      </c>
      <c r="B28" s="115">
        <v>4110.3999999999996</v>
      </c>
      <c r="C28" s="115">
        <v>9982.4</v>
      </c>
      <c r="D28" s="116">
        <f>C28/B28</f>
        <v>2.4285714285714288</v>
      </c>
    </row>
    <row r="29" spans="1:10" ht="15" customHeight="1" x14ac:dyDescent="0.35">
      <c r="A29" s="114" t="s">
        <v>66</v>
      </c>
      <c r="B29" s="115">
        <v>200.18</v>
      </c>
      <c r="C29" s="115">
        <v>3914.67</v>
      </c>
      <c r="D29" s="116">
        <f>C29/B29</f>
        <v>19.55574982515736</v>
      </c>
    </row>
    <row r="30" spans="1:10" ht="15" customHeight="1" x14ac:dyDescent="0.35">
      <c r="A30" s="114" t="s">
        <v>142</v>
      </c>
      <c r="B30" s="115">
        <v>980.9</v>
      </c>
      <c r="C30" s="115">
        <v>1716.58</v>
      </c>
      <c r="D30" s="116">
        <f>C30/B30</f>
        <v>1.7500050973595678</v>
      </c>
    </row>
    <row r="32" spans="1:10" ht="30" customHeight="1" x14ac:dyDescent="0.35">
      <c r="A32" s="196" t="s">
        <v>316</v>
      </c>
      <c r="B32" s="196"/>
      <c r="C32" s="196"/>
      <c r="D32" s="196"/>
      <c r="E32" s="196"/>
      <c r="F32" s="196"/>
      <c r="G32" s="196"/>
      <c r="H32" s="196"/>
    </row>
    <row r="33" spans="1:8" ht="15" customHeight="1" x14ac:dyDescent="0.35">
      <c r="A33" s="196"/>
      <c r="B33" s="196"/>
      <c r="C33" s="196"/>
      <c r="D33" s="196"/>
      <c r="E33" s="196"/>
      <c r="F33" s="196"/>
      <c r="G33" s="196"/>
      <c r="H33" s="196"/>
    </row>
    <row r="34" spans="1:8" ht="15" customHeight="1" x14ac:dyDescent="0.35">
      <c r="A34" s="196"/>
      <c r="B34" s="196"/>
      <c r="C34" s="196"/>
      <c r="D34" s="196"/>
      <c r="E34" s="196"/>
      <c r="F34" s="196"/>
      <c r="G34" s="196"/>
      <c r="H34" s="196"/>
    </row>
    <row r="36" spans="1:8" ht="15" customHeight="1" x14ac:dyDescent="0.35">
      <c r="A36" s="93" t="s">
        <v>148</v>
      </c>
    </row>
    <row r="37" spans="1:8" ht="30" customHeight="1" x14ac:dyDescent="0.35">
      <c r="A37" s="197" t="s">
        <v>149</v>
      </c>
      <c r="B37" s="197"/>
      <c r="C37" s="197"/>
      <c r="D37" s="197"/>
      <c r="E37" s="197"/>
      <c r="F37" s="197"/>
      <c r="G37" s="197"/>
      <c r="H37" s="197"/>
    </row>
    <row r="38" spans="1:8" ht="30" customHeight="1" x14ac:dyDescent="0.35">
      <c r="A38" s="197" t="s">
        <v>150</v>
      </c>
      <c r="B38" s="197"/>
      <c r="C38" s="197"/>
      <c r="D38" s="197"/>
      <c r="E38" s="197"/>
      <c r="F38" s="197"/>
      <c r="G38" s="197"/>
      <c r="H38" s="197"/>
    </row>
    <row r="39" spans="1:8" ht="30" customHeight="1" x14ac:dyDescent="0.35">
      <c r="A39" s="197" t="s">
        <v>151</v>
      </c>
      <c r="B39" s="197"/>
      <c r="C39" s="197"/>
      <c r="D39" s="197"/>
      <c r="E39" s="197"/>
      <c r="F39" s="197"/>
      <c r="G39" s="197"/>
      <c r="H39" s="197"/>
    </row>
    <row r="40" spans="1:8" ht="30" customHeight="1" x14ac:dyDescent="0.35">
      <c r="A40" s="197" t="s">
        <v>152</v>
      </c>
      <c r="B40" s="197"/>
      <c r="C40" s="197"/>
      <c r="D40" s="197"/>
      <c r="E40" s="197"/>
      <c r="F40" s="197"/>
      <c r="G40" s="197"/>
      <c r="H40" s="197"/>
    </row>
  </sheetData>
  <mergeCells count="13">
    <mergeCell ref="A4:B5"/>
    <mergeCell ref="C4:D5"/>
    <mergeCell ref="E4:F5"/>
    <mergeCell ref="G4:H5"/>
    <mergeCell ref="A6:B7"/>
    <mergeCell ref="C6:D7"/>
    <mergeCell ref="E6:F7"/>
    <mergeCell ref="G6:H7"/>
    <mergeCell ref="A32:H34"/>
    <mergeCell ref="A37:H37"/>
    <mergeCell ref="A38:H38"/>
    <mergeCell ref="A39:H39"/>
    <mergeCell ref="A40:H40"/>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F32"/>
  <sheetViews>
    <sheetView topLeftCell="A30" zoomScaleNormal="100" workbookViewId="0">
      <selection activeCell="E27" sqref="E27"/>
    </sheetView>
  </sheetViews>
  <sheetFormatPr baseColWidth="10" defaultColWidth="10.6328125" defaultRowHeight="14.5" x14ac:dyDescent="0.35"/>
  <cols>
    <col min="1" max="6" width="41.36328125" customWidth="1"/>
  </cols>
  <sheetData>
    <row r="1" spans="1:6" ht="30.75" customHeight="1" x14ac:dyDescent="0.35">
      <c r="A1" s="143" t="s">
        <v>249</v>
      </c>
    </row>
    <row r="3" spans="1:6" ht="14.25" customHeight="1" x14ac:dyDescent="0.35">
      <c r="A3" t="s">
        <v>250</v>
      </c>
    </row>
    <row r="5" spans="1:6" ht="14.25" customHeight="1" x14ac:dyDescent="0.35">
      <c r="A5" s="144" t="s">
        <v>251</v>
      </c>
      <c r="B5" s="144" t="s">
        <v>106</v>
      </c>
      <c r="C5" s="144" t="s">
        <v>252</v>
      </c>
      <c r="D5" s="144" t="s">
        <v>94</v>
      </c>
      <c r="E5" s="144" t="s">
        <v>253</v>
      </c>
      <c r="F5" s="144" t="s">
        <v>254</v>
      </c>
    </row>
    <row r="6" spans="1:6" ht="43.5" customHeight="1" x14ac:dyDescent="0.35">
      <c r="A6" s="145" t="s">
        <v>36</v>
      </c>
      <c r="B6" s="146" t="s">
        <v>255</v>
      </c>
      <c r="C6" s="146" t="s">
        <v>256</v>
      </c>
      <c r="D6" s="146" t="s">
        <v>256</v>
      </c>
      <c r="E6" s="145" t="s">
        <v>257</v>
      </c>
      <c r="F6" s="146" t="s">
        <v>258</v>
      </c>
    </row>
    <row r="7" spans="1:6" ht="14.25" customHeight="1" x14ac:dyDescent="0.35">
      <c r="A7" s="145" t="s">
        <v>43</v>
      </c>
      <c r="B7" s="146" t="s">
        <v>255</v>
      </c>
      <c r="C7" s="146" t="s">
        <v>259</v>
      </c>
      <c r="D7" s="146" t="s">
        <v>259</v>
      </c>
      <c r="E7" s="145" t="s">
        <v>257</v>
      </c>
      <c r="F7" s="146" t="s">
        <v>260</v>
      </c>
    </row>
    <row r="8" spans="1:6" ht="28.5" hidden="1" customHeight="1" x14ac:dyDescent="0.35">
      <c r="A8" s="145" t="s">
        <v>45</v>
      </c>
      <c r="B8" s="146" t="s">
        <v>255</v>
      </c>
      <c r="C8" s="146" t="s">
        <v>261</v>
      </c>
      <c r="D8" s="146" t="s">
        <v>261</v>
      </c>
      <c r="E8" s="145" t="s">
        <v>262</v>
      </c>
      <c r="F8" s="146" t="s">
        <v>263</v>
      </c>
    </row>
    <row r="9" spans="1:6" ht="28.5" hidden="1" customHeight="1" x14ac:dyDescent="0.35">
      <c r="A9" s="145" t="s">
        <v>61</v>
      </c>
      <c r="B9" s="146" t="s">
        <v>255</v>
      </c>
      <c r="C9" s="146" t="s">
        <v>264</v>
      </c>
      <c r="D9" s="146" t="s">
        <v>264</v>
      </c>
      <c r="E9" s="145" t="s">
        <v>262</v>
      </c>
      <c r="F9" s="146" t="s">
        <v>265</v>
      </c>
    </row>
    <row r="10" spans="1:6" ht="43.5" customHeight="1" x14ac:dyDescent="0.35">
      <c r="A10" s="145" t="s">
        <v>63</v>
      </c>
      <c r="B10" s="146" t="s">
        <v>255</v>
      </c>
      <c r="C10" s="146" t="s">
        <v>266</v>
      </c>
      <c r="D10" s="146" t="s">
        <v>267</v>
      </c>
      <c r="E10" s="146" t="s">
        <v>268</v>
      </c>
      <c r="F10" s="146" t="s">
        <v>269</v>
      </c>
    </row>
    <row r="11" spans="1:6" ht="14.25" customHeight="1" x14ac:dyDescent="0.35">
      <c r="A11" s="145" t="s">
        <v>66</v>
      </c>
      <c r="B11" s="146" t="s">
        <v>255</v>
      </c>
      <c r="C11" s="146" t="s">
        <v>270</v>
      </c>
      <c r="D11" s="146" t="s">
        <v>271</v>
      </c>
      <c r="E11" s="146" t="s">
        <v>268</v>
      </c>
      <c r="F11" s="146" t="s">
        <v>272</v>
      </c>
    </row>
    <row r="12" spans="1:6" ht="43.5" customHeight="1" x14ac:dyDescent="0.35">
      <c r="A12" s="145" t="s">
        <v>64</v>
      </c>
      <c r="B12" s="146" t="s">
        <v>255</v>
      </c>
      <c r="C12" s="146" t="s">
        <v>273</v>
      </c>
      <c r="D12" s="146" t="s">
        <v>274</v>
      </c>
      <c r="E12" s="146" t="s">
        <v>275</v>
      </c>
      <c r="F12" s="146" t="s">
        <v>276</v>
      </c>
    </row>
    <row r="13" spans="1:6" ht="14.25" customHeight="1" x14ac:dyDescent="0.35">
      <c r="A13" s="145" t="s">
        <v>65</v>
      </c>
      <c r="B13" s="146" t="s">
        <v>255</v>
      </c>
      <c r="C13" s="146" t="s">
        <v>277</v>
      </c>
      <c r="D13" s="146" t="s">
        <v>278</v>
      </c>
      <c r="E13" s="146" t="s">
        <v>275</v>
      </c>
      <c r="F13" s="146" t="s">
        <v>279</v>
      </c>
    </row>
    <row r="14" spans="1:6" ht="28.5" hidden="1" customHeight="1" x14ac:dyDescent="0.35">
      <c r="A14" s="145" t="s">
        <v>54</v>
      </c>
      <c r="B14" s="146" t="s">
        <v>280</v>
      </c>
      <c r="C14" s="146" t="s">
        <v>281</v>
      </c>
      <c r="D14" s="146" t="s">
        <v>281</v>
      </c>
      <c r="E14" s="145" t="s">
        <v>262</v>
      </c>
      <c r="F14" s="146" t="s">
        <v>282</v>
      </c>
    </row>
    <row r="15" spans="1:6" ht="14.25" hidden="1" customHeight="1" x14ac:dyDescent="0.35">
      <c r="A15" s="145" t="s">
        <v>62</v>
      </c>
      <c r="B15" s="146" t="s">
        <v>280</v>
      </c>
      <c r="C15" s="146" t="s">
        <v>283</v>
      </c>
      <c r="D15" s="146" t="s">
        <v>283</v>
      </c>
      <c r="E15" s="145" t="s">
        <v>262</v>
      </c>
      <c r="F15" s="146" t="s">
        <v>284</v>
      </c>
    </row>
    <row r="16" spans="1:6" ht="43.5" customHeight="1" x14ac:dyDescent="0.35">
      <c r="A16" s="145" t="s">
        <v>47</v>
      </c>
      <c r="B16" s="146" t="s">
        <v>285</v>
      </c>
      <c r="C16" s="146" t="s">
        <v>286</v>
      </c>
      <c r="D16" s="146" t="s">
        <v>287</v>
      </c>
      <c r="E16" s="146" t="s">
        <v>288</v>
      </c>
      <c r="F16" s="146" t="s">
        <v>289</v>
      </c>
    </row>
    <row r="17" spans="1:6" ht="14.25" customHeight="1" x14ac:dyDescent="0.35">
      <c r="A17" s="145" t="s">
        <v>52</v>
      </c>
      <c r="B17" s="146" t="s">
        <v>285</v>
      </c>
      <c r="C17" s="146" t="s">
        <v>290</v>
      </c>
      <c r="D17" s="146" t="s">
        <v>291</v>
      </c>
      <c r="E17" s="146" t="s">
        <v>288</v>
      </c>
      <c r="F17" s="146" t="s">
        <v>292</v>
      </c>
    </row>
    <row r="18" spans="1:6" ht="14.25" customHeight="1" x14ac:dyDescent="0.35">
      <c r="A18" s="145" t="s">
        <v>293</v>
      </c>
      <c r="B18" s="146" t="s">
        <v>285</v>
      </c>
      <c r="C18" s="146" t="s">
        <v>290</v>
      </c>
      <c r="D18" s="146" t="s">
        <v>291</v>
      </c>
      <c r="E18" s="146" t="s">
        <v>288</v>
      </c>
      <c r="F18" s="146" t="s">
        <v>294</v>
      </c>
    </row>
    <row r="19" spans="1:6" ht="14.25" customHeight="1" x14ac:dyDescent="0.35">
      <c r="A19" s="145" t="s">
        <v>59</v>
      </c>
      <c r="B19" s="146" t="s">
        <v>285</v>
      </c>
      <c r="C19" s="146" t="s">
        <v>295</v>
      </c>
      <c r="D19" s="146" t="s">
        <v>291</v>
      </c>
      <c r="E19" s="146" t="s">
        <v>288</v>
      </c>
      <c r="F19" s="146" t="s">
        <v>294</v>
      </c>
    </row>
    <row r="20" spans="1:6" ht="43.5" customHeight="1" x14ac:dyDescent="0.35">
      <c r="A20" s="145" t="s">
        <v>60</v>
      </c>
      <c r="B20" s="146" t="s">
        <v>285</v>
      </c>
      <c r="C20" s="146" t="s">
        <v>295</v>
      </c>
      <c r="D20" s="146" t="s">
        <v>291</v>
      </c>
      <c r="E20" s="146" t="s">
        <v>288</v>
      </c>
      <c r="F20" s="146" t="s">
        <v>296</v>
      </c>
    </row>
    <row r="21" spans="1:6" ht="64.5" customHeight="1" x14ac:dyDescent="0.35">
      <c r="A21" s="147" t="s">
        <v>141</v>
      </c>
      <c r="B21" s="147" t="s">
        <v>255</v>
      </c>
      <c r="C21" s="147" t="s">
        <v>297</v>
      </c>
      <c r="D21" s="147" t="s">
        <v>297</v>
      </c>
      <c r="E21" s="147" t="s">
        <v>257</v>
      </c>
      <c r="F21" s="147" t="s">
        <v>298</v>
      </c>
    </row>
    <row r="22" spans="1:6" ht="23.25" customHeight="1" x14ac:dyDescent="0.35">
      <c r="A22" s="147" t="s">
        <v>142</v>
      </c>
      <c r="B22" s="147" t="s">
        <v>280</v>
      </c>
      <c r="C22" s="147" t="s">
        <v>299</v>
      </c>
      <c r="D22" s="147" t="s">
        <v>299</v>
      </c>
      <c r="E22" s="147" t="s">
        <v>257</v>
      </c>
      <c r="F22" s="147" t="s">
        <v>300</v>
      </c>
    </row>
    <row r="24" spans="1:6" ht="14.25" customHeight="1" x14ac:dyDescent="0.35">
      <c r="A24" s="148" t="s">
        <v>301</v>
      </c>
    </row>
    <row r="25" spans="1:6" ht="28.5" customHeight="1" x14ac:dyDescent="0.35"/>
    <row r="26" spans="1:6" ht="14.25" customHeight="1" x14ac:dyDescent="0.35">
      <c r="A26" s="144" t="s">
        <v>302</v>
      </c>
      <c r="B26" s="144" t="s">
        <v>303</v>
      </c>
      <c r="C26" s="144" t="s">
        <v>304</v>
      </c>
    </row>
    <row r="27" spans="1:6" ht="14.25" customHeight="1" x14ac:dyDescent="0.35">
      <c r="A27" s="146" t="s">
        <v>305</v>
      </c>
      <c r="B27" s="146">
        <v>8</v>
      </c>
      <c r="C27" s="149">
        <v>0.47</v>
      </c>
    </row>
    <row r="28" spans="1:6" ht="14.25" customHeight="1" x14ac:dyDescent="0.35">
      <c r="A28" s="146" t="s">
        <v>306</v>
      </c>
      <c r="B28" s="146">
        <v>2</v>
      </c>
      <c r="C28" s="149">
        <v>0.12</v>
      </c>
    </row>
    <row r="29" spans="1:6" ht="14.25" customHeight="1" x14ac:dyDescent="0.35">
      <c r="A29" s="146" t="s">
        <v>307</v>
      </c>
      <c r="B29" s="146">
        <v>2</v>
      </c>
      <c r="C29" s="149">
        <v>0.12</v>
      </c>
    </row>
    <row r="30" spans="1:6" ht="14.25" customHeight="1" x14ac:dyDescent="0.35">
      <c r="A30" s="146" t="s">
        <v>308</v>
      </c>
      <c r="B30" s="146">
        <v>5</v>
      </c>
      <c r="C30" s="149">
        <v>0.28999999999999998</v>
      </c>
    </row>
    <row r="32" spans="1:6" ht="14.25" customHeight="1" x14ac:dyDescent="0.35">
      <c r="A32" s="150" t="s">
        <v>309</v>
      </c>
    </row>
  </sheetData>
  <autoFilter ref="A5:F22" xr:uid="{00000000-0009-0000-0000-000004000000}">
    <filterColumn colId="4">
      <filters>
        <filter val="⬆️ Sube de nivel"/>
        <filter val="⬇️ Baja de nivel"/>
        <filter val="Sin cambio de posición — cambia el método"/>
        <filter val="🔄 Reordenado (mismo nivel)"/>
      </filters>
    </filterColumn>
  </autoFilter>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36"/>
  <sheetViews>
    <sheetView topLeftCell="B38" zoomScaleNormal="100" workbookViewId="0">
      <selection activeCell="B1" sqref="B1"/>
    </sheetView>
  </sheetViews>
  <sheetFormatPr baseColWidth="10" defaultColWidth="10.6328125" defaultRowHeight="14.5" x14ac:dyDescent="0.35"/>
  <cols>
    <col min="2" max="2" width="92.26953125" customWidth="1"/>
    <col min="3" max="3" width="81.26953125" customWidth="1"/>
  </cols>
  <sheetData>
    <row r="1" spans="2:3" x14ac:dyDescent="0.35">
      <c r="B1" t="s">
        <v>451</v>
      </c>
    </row>
    <row r="2" spans="2:3" ht="14.25" customHeight="1" x14ac:dyDescent="0.45">
      <c r="B2" s="153" t="s">
        <v>310</v>
      </c>
      <c r="C2" s="153" t="s">
        <v>311</v>
      </c>
    </row>
    <row r="19" spans="2:3" ht="103" customHeight="1" x14ac:dyDescent="0.35">
      <c r="B19" s="93" t="s">
        <v>317</v>
      </c>
    </row>
    <row r="20" spans="2:3" x14ac:dyDescent="0.35">
      <c r="B20" s="81" t="s">
        <v>318</v>
      </c>
      <c r="C20" s="102" t="s">
        <v>319</v>
      </c>
    </row>
    <row r="21" spans="2:3" ht="14.25" customHeight="1" x14ac:dyDescent="0.35">
      <c r="B21" s="81" t="s">
        <v>320</v>
      </c>
      <c r="C21" s="102" t="s">
        <v>321</v>
      </c>
    </row>
    <row r="22" spans="2:3" x14ac:dyDescent="0.35">
      <c r="B22" s="81" t="s">
        <v>322</v>
      </c>
      <c r="C22" s="102" t="s">
        <v>323</v>
      </c>
    </row>
    <row r="23" spans="2:3" x14ac:dyDescent="0.35">
      <c r="B23" s="81" t="s">
        <v>324</v>
      </c>
      <c r="C23" s="102" t="s">
        <v>325</v>
      </c>
    </row>
    <row r="24" spans="2:3" x14ac:dyDescent="0.35">
      <c r="B24" s="81" t="s">
        <v>326</v>
      </c>
      <c r="C24" s="102" t="s">
        <v>327</v>
      </c>
    </row>
    <row r="25" spans="2:3" x14ac:dyDescent="0.35">
      <c r="B25" s="81" t="s">
        <v>328</v>
      </c>
      <c r="C25" s="102" t="s">
        <v>329</v>
      </c>
    </row>
    <row r="26" spans="2:3" x14ac:dyDescent="0.35">
      <c r="B26" s="81" t="s">
        <v>330</v>
      </c>
      <c r="C26" s="102" t="s">
        <v>331</v>
      </c>
    </row>
    <row r="27" spans="2:3" x14ac:dyDescent="0.35">
      <c r="B27" s="81" t="s">
        <v>332</v>
      </c>
      <c r="C27" s="102" t="s">
        <v>333</v>
      </c>
    </row>
    <row r="28" spans="2:3" x14ac:dyDescent="0.35">
      <c r="B28" s="81" t="s">
        <v>334</v>
      </c>
      <c r="C28" s="102" t="s">
        <v>335</v>
      </c>
    </row>
    <row r="29" spans="2:3" x14ac:dyDescent="0.35">
      <c r="B29" s="81" t="s">
        <v>336</v>
      </c>
      <c r="C29" s="102" t="s">
        <v>337</v>
      </c>
    </row>
    <row r="30" spans="2:3" x14ac:dyDescent="0.35">
      <c r="B30" s="81" t="s">
        <v>338</v>
      </c>
      <c r="C30" s="102" t="s">
        <v>339</v>
      </c>
    </row>
    <row r="31" spans="2:3" x14ac:dyDescent="0.35">
      <c r="B31" s="81" t="s">
        <v>340</v>
      </c>
      <c r="C31" s="102" t="s">
        <v>341</v>
      </c>
    </row>
    <row r="33" spans="2:2" x14ac:dyDescent="0.35">
      <c r="B33" s="99" t="s">
        <v>342</v>
      </c>
    </row>
    <row r="34" spans="2:2" x14ac:dyDescent="0.35">
      <c r="B34" s="80" t="s">
        <v>345</v>
      </c>
    </row>
    <row r="35" spans="2:2" x14ac:dyDescent="0.35">
      <c r="B35" s="80" t="s">
        <v>343</v>
      </c>
    </row>
    <row r="36" spans="2:2" x14ac:dyDescent="0.35">
      <c r="B36" s="80" t="s">
        <v>344</v>
      </c>
    </row>
  </sheetData>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493A-DF73-4EB8-A9D4-3A0E20976088}">
  <dimension ref="A1:H161"/>
  <sheetViews>
    <sheetView topLeftCell="B15" workbookViewId="0">
      <selection activeCell="L12" sqref="L12"/>
    </sheetView>
  </sheetViews>
  <sheetFormatPr baseColWidth="10" defaultRowHeight="14.5" x14ac:dyDescent="0.35"/>
  <cols>
    <col min="1" max="1" width="101.90625" customWidth="1"/>
  </cols>
  <sheetData>
    <row r="1" spans="1:1" x14ac:dyDescent="0.35">
      <c r="A1" s="154"/>
    </row>
    <row r="2" spans="1:1" x14ac:dyDescent="0.35">
      <c r="A2" s="155" t="s">
        <v>346</v>
      </c>
    </row>
    <row r="3" spans="1:1" x14ac:dyDescent="0.35">
      <c r="A3" s="156" t="s">
        <v>347</v>
      </c>
    </row>
    <row r="4" spans="1:1" x14ac:dyDescent="0.35">
      <c r="A4" s="154"/>
    </row>
    <row r="5" spans="1:1" x14ac:dyDescent="0.35">
      <c r="A5" s="165" t="s">
        <v>348</v>
      </c>
    </row>
    <row r="6" spans="1:1" x14ac:dyDescent="0.35">
      <c r="A6" s="154"/>
    </row>
    <row r="7" spans="1:1" x14ac:dyDescent="0.35">
      <c r="A7" s="156" t="s">
        <v>349</v>
      </c>
    </row>
    <row r="8" spans="1:1" x14ac:dyDescent="0.35">
      <c r="A8" s="165" t="s">
        <v>350</v>
      </c>
    </row>
    <row r="9" spans="1:1" x14ac:dyDescent="0.35">
      <c r="A9" s="165" t="s">
        <v>351</v>
      </c>
    </row>
    <row r="10" spans="1:1" x14ac:dyDescent="0.35">
      <c r="A10" s="154"/>
    </row>
    <row r="11" spans="1:1" x14ac:dyDescent="0.35">
      <c r="A11" s="155" t="s">
        <v>352</v>
      </c>
    </row>
    <row r="12" spans="1:1" x14ac:dyDescent="0.35">
      <c r="A12" s="154"/>
    </row>
    <row r="13" spans="1:1" x14ac:dyDescent="0.35">
      <c r="A13" s="155" t="s">
        <v>353</v>
      </c>
    </row>
    <row r="14" spans="1:1" x14ac:dyDescent="0.35">
      <c r="A14" s="156" t="s">
        <v>354</v>
      </c>
    </row>
    <row r="15" spans="1:1" x14ac:dyDescent="0.35">
      <c r="A15" s="154"/>
    </row>
    <row r="16" spans="1:1" x14ac:dyDescent="0.35">
      <c r="A16" s="156" t="s">
        <v>355</v>
      </c>
    </row>
    <row r="17" spans="1:1" x14ac:dyDescent="0.35">
      <c r="A17" s="156" t="s">
        <v>356</v>
      </c>
    </row>
    <row r="18" spans="1:1" x14ac:dyDescent="0.35">
      <c r="A18" s="154"/>
    </row>
    <row r="19" spans="1:1" x14ac:dyDescent="0.35">
      <c r="A19" s="156" t="s">
        <v>357</v>
      </c>
    </row>
    <row r="20" spans="1:1" x14ac:dyDescent="0.35">
      <c r="A20" s="156" t="s">
        <v>358</v>
      </c>
    </row>
    <row r="21" spans="1:1" x14ac:dyDescent="0.35">
      <c r="A21" s="154"/>
    </row>
    <row r="22" spans="1:1" x14ac:dyDescent="0.35">
      <c r="A22" s="156" t="s">
        <v>359</v>
      </c>
    </row>
    <row r="23" spans="1:1" x14ac:dyDescent="0.35">
      <c r="A23" s="156" t="s">
        <v>360</v>
      </c>
    </row>
    <row r="24" spans="1:1" x14ac:dyDescent="0.35">
      <c r="A24" s="154"/>
    </row>
    <row r="25" spans="1:1" x14ac:dyDescent="0.35">
      <c r="A25" s="156" t="s">
        <v>361</v>
      </c>
    </row>
    <row r="26" spans="1:1" x14ac:dyDescent="0.35">
      <c r="A26" s="156" t="s">
        <v>362</v>
      </c>
    </row>
    <row r="27" spans="1:1" x14ac:dyDescent="0.35">
      <c r="A27" s="154"/>
    </row>
    <row r="28" spans="1:1" x14ac:dyDescent="0.35">
      <c r="A28" s="156" t="s">
        <v>363</v>
      </c>
    </row>
    <row r="29" spans="1:1" x14ac:dyDescent="0.35">
      <c r="A29" s="156" t="s">
        <v>364</v>
      </c>
    </row>
    <row r="30" spans="1:1" x14ac:dyDescent="0.35">
      <c r="A30" s="154"/>
    </row>
    <row r="31" spans="1:1" x14ac:dyDescent="0.35">
      <c r="A31" s="156" t="s">
        <v>365</v>
      </c>
    </row>
    <row r="32" spans="1:1" x14ac:dyDescent="0.35">
      <c r="A32" s="156" t="s">
        <v>366</v>
      </c>
    </row>
    <row r="33" spans="1:1" x14ac:dyDescent="0.35">
      <c r="A33" s="154"/>
    </row>
    <row r="34" spans="1:1" x14ac:dyDescent="0.35">
      <c r="A34" s="156" t="s">
        <v>367</v>
      </c>
    </row>
    <row r="35" spans="1:1" x14ac:dyDescent="0.35">
      <c r="A35" s="154"/>
    </row>
    <row r="36" spans="1:1" x14ac:dyDescent="0.35">
      <c r="A36" s="155" t="s">
        <v>368</v>
      </c>
    </row>
    <row r="37" spans="1:1" x14ac:dyDescent="0.35">
      <c r="A37" s="156" t="s">
        <v>369</v>
      </c>
    </row>
    <row r="38" spans="1:1" x14ac:dyDescent="0.35">
      <c r="A38" s="154"/>
    </row>
    <row r="39" spans="1:1" x14ac:dyDescent="0.35">
      <c r="A39" s="156" t="s">
        <v>370</v>
      </c>
    </row>
    <row r="40" spans="1:1" x14ac:dyDescent="0.35">
      <c r="A40" s="156" t="s">
        <v>371</v>
      </c>
    </row>
    <row r="41" spans="1:1" x14ac:dyDescent="0.35">
      <c r="A41" s="154"/>
    </row>
    <row r="42" spans="1:1" x14ac:dyDescent="0.35">
      <c r="A42" s="156" t="s">
        <v>372</v>
      </c>
    </row>
    <row r="43" spans="1:1" x14ac:dyDescent="0.35">
      <c r="A43" s="156" t="s">
        <v>373</v>
      </c>
    </row>
    <row r="44" spans="1:1" x14ac:dyDescent="0.35">
      <c r="A44" s="154"/>
    </row>
    <row r="45" spans="1:1" x14ac:dyDescent="0.35">
      <c r="A45" s="156" t="s">
        <v>374</v>
      </c>
    </row>
    <row r="46" spans="1:1" x14ac:dyDescent="0.35">
      <c r="A46" s="156" t="s">
        <v>375</v>
      </c>
    </row>
    <row r="47" spans="1:1" x14ac:dyDescent="0.35">
      <c r="A47" s="154"/>
    </row>
    <row r="48" spans="1:1" x14ac:dyDescent="0.35">
      <c r="A48" s="156" t="s">
        <v>376</v>
      </c>
    </row>
    <row r="49" spans="1:1" x14ac:dyDescent="0.35">
      <c r="A49" s="154"/>
    </row>
    <row r="50" spans="1:1" x14ac:dyDescent="0.35">
      <c r="A50" s="155" t="s">
        <v>377</v>
      </c>
    </row>
    <row r="51" spans="1:1" x14ac:dyDescent="0.35">
      <c r="A51" s="156" t="s">
        <v>378</v>
      </c>
    </row>
    <row r="52" spans="1:1" x14ac:dyDescent="0.35">
      <c r="A52" s="154"/>
    </row>
    <row r="53" spans="1:1" x14ac:dyDescent="0.35">
      <c r="A53" s="156" t="s">
        <v>379</v>
      </c>
    </row>
    <row r="54" spans="1:1" x14ac:dyDescent="0.35">
      <c r="A54" s="154"/>
    </row>
    <row r="55" spans="1:1" x14ac:dyDescent="0.35">
      <c r="A55" s="155" t="s">
        <v>380</v>
      </c>
    </row>
    <row r="56" spans="1:1" x14ac:dyDescent="0.35">
      <c r="A56" s="156" t="s">
        <v>381</v>
      </c>
    </row>
    <row r="57" spans="1:1" x14ac:dyDescent="0.35">
      <c r="A57" s="154"/>
    </row>
    <row r="58" spans="1:1" x14ac:dyDescent="0.35">
      <c r="A58" s="156" t="s">
        <v>382</v>
      </c>
    </row>
    <row r="59" spans="1:1" x14ac:dyDescent="0.35">
      <c r="A59" s="154"/>
    </row>
    <row r="60" spans="1:1" x14ac:dyDescent="0.35">
      <c r="A60" s="155"/>
    </row>
    <row r="61" spans="1:1" x14ac:dyDescent="0.35">
      <c r="A61" s="156" t="s">
        <v>383</v>
      </c>
    </row>
    <row r="63" spans="1:1" x14ac:dyDescent="0.35">
      <c r="A63" s="157" t="s">
        <v>384</v>
      </c>
    </row>
    <row r="65" spans="1:1" x14ac:dyDescent="0.35">
      <c r="A65" s="157" t="s">
        <v>385</v>
      </c>
    </row>
    <row r="67" spans="1:1" ht="17.5" x14ac:dyDescent="0.35">
      <c r="A67" s="158" t="s">
        <v>386</v>
      </c>
    </row>
    <row r="68" spans="1:1" x14ac:dyDescent="0.35">
      <c r="A68" s="159"/>
    </row>
    <row r="69" spans="1:1" x14ac:dyDescent="0.35">
      <c r="A69" s="160" t="s">
        <v>387</v>
      </c>
    </row>
    <row r="70" spans="1:1" x14ac:dyDescent="0.35">
      <c r="A70" s="159"/>
    </row>
    <row r="71" spans="1:1" x14ac:dyDescent="0.35">
      <c r="A71" s="160" t="s">
        <v>388</v>
      </c>
    </row>
    <row r="72" spans="1:1" x14ac:dyDescent="0.35">
      <c r="A72" s="159"/>
    </row>
    <row r="73" spans="1:1" x14ac:dyDescent="0.35">
      <c r="A73" s="160" t="s">
        <v>389</v>
      </c>
    </row>
    <row r="75" spans="1:1" ht="17.5" x14ac:dyDescent="0.35">
      <c r="A75" s="158" t="s">
        <v>390</v>
      </c>
    </row>
    <row r="76" spans="1:1" x14ac:dyDescent="0.35">
      <c r="A76" s="159"/>
    </row>
    <row r="77" spans="1:1" x14ac:dyDescent="0.35">
      <c r="A77" s="160" t="s">
        <v>391</v>
      </c>
    </row>
    <row r="78" spans="1:1" x14ac:dyDescent="0.35">
      <c r="A78" s="159"/>
    </row>
    <row r="79" spans="1:1" x14ac:dyDescent="0.35">
      <c r="A79" s="160" t="s">
        <v>392</v>
      </c>
    </row>
    <row r="80" spans="1:1" x14ac:dyDescent="0.35">
      <c r="A80" s="159"/>
    </row>
    <row r="81" spans="1:1" x14ac:dyDescent="0.35">
      <c r="A81" s="160" t="s">
        <v>393</v>
      </c>
    </row>
    <row r="83" spans="1:1" ht="17.5" x14ac:dyDescent="0.35">
      <c r="A83" s="158" t="s">
        <v>394</v>
      </c>
    </row>
    <row r="84" spans="1:1" x14ac:dyDescent="0.35">
      <c r="A84" s="159"/>
    </row>
    <row r="85" spans="1:1" x14ac:dyDescent="0.35">
      <c r="A85" s="161" t="s">
        <v>395</v>
      </c>
    </row>
    <row r="88" spans="1:1" ht="17.5" x14ac:dyDescent="0.35">
      <c r="A88" s="158" t="s">
        <v>396</v>
      </c>
    </row>
    <row r="90" spans="1:1" x14ac:dyDescent="0.35">
      <c r="A90" s="157" t="s">
        <v>397</v>
      </c>
    </row>
    <row r="91" spans="1:1" x14ac:dyDescent="0.35">
      <c r="A91" s="159"/>
    </row>
    <row r="92" spans="1:1" x14ac:dyDescent="0.35">
      <c r="A92" s="160" t="s">
        <v>398</v>
      </c>
    </row>
    <row r="93" spans="1:1" x14ac:dyDescent="0.35">
      <c r="A93" s="159"/>
    </row>
    <row r="94" spans="1:1" x14ac:dyDescent="0.35">
      <c r="A94" s="161"/>
    </row>
    <row r="95" spans="1:1" x14ac:dyDescent="0.35">
      <c r="A95" s="162" t="s">
        <v>399</v>
      </c>
    </row>
    <row r="96" spans="1:1" x14ac:dyDescent="0.35">
      <c r="A96" s="163"/>
    </row>
    <row r="97" spans="1:1" x14ac:dyDescent="0.35">
      <c r="A97" s="162" t="s">
        <v>400</v>
      </c>
    </row>
    <row r="98" spans="1:1" x14ac:dyDescent="0.35">
      <c r="A98" s="159"/>
    </row>
    <row r="99" spans="1:1" x14ac:dyDescent="0.35">
      <c r="A99" s="160" t="s">
        <v>401</v>
      </c>
    </row>
    <row r="100" spans="1:1" x14ac:dyDescent="0.35">
      <c r="A100" s="159"/>
    </row>
    <row r="101" spans="1:1" x14ac:dyDescent="0.35">
      <c r="A101" s="161"/>
    </row>
    <row r="102" spans="1:1" x14ac:dyDescent="0.35">
      <c r="A102" s="162" t="s">
        <v>402</v>
      </c>
    </row>
    <row r="103" spans="1:1" x14ac:dyDescent="0.35">
      <c r="A103" s="163"/>
    </row>
    <row r="104" spans="1:1" x14ac:dyDescent="0.35">
      <c r="A104" s="162" t="s">
        <v>403</v>
      </c>
    </row>
    <row r="106" spans="1:1" x14ac:dyDescent="0.35">
      <c r="A106" s="164" t="s">
        <v>404</v>
      </c>
    </row>
    <row r="108" spans="1:1" x14ac:dyDescent="0.35">
      <c r="A108" t="s">
        <v>405</v>
      </c>
    </row>
    <row r="109" spans="1:1" x14ac:dyDescent="0.35">
      <c r="A109" t="s">
        <v>406</v>
      </c>
    </row>
    <row r="110" spans="1:1" x14ac:dyDescent="0.35">
      <c r="A110" t="s">
        <v>407</v>
      </c>
    </row>
    <row r="112" spans="1:1" x14ac:dyDescent="0.35">
      <c r="A112" t="s">
        <v>408</v>
      </c>
    </row>
    <row r="114" spans="1:1" x14ac:dyDescent="0.35">
      <c r="A114" t="s">
        <v>409</v>
      </c>
    </row>
    <row r="115" spans="1:1" x14ac:dyDescent="0.35">
      <c r="A115" t="s">
        <v>410</v>
      </c>
    </row>
    <row r="116" spans="1:1" x14ac:dyDescent="0.35">
      <c r="A116" t="s">
        <v>411</v>
      </c>
    </row>
    <row r="117" spans="1:1" x14ac:dyDescent="0.35">
      <c r="A117" t="s">
        <v>412</v>
      </c>
    </row>
    <row r="118" spans="1:1" x14ac:dyDescent="0.35">
      <c r="A118" t="s">
        <v>413</v>
      </c>
    </row>
    <row r="119" spans="1:1" x14ac:dyDescent="0.35">
      <c r="A119" t="s">
        <v>414</v>
      </c>
    </row>
    <row r="120" spans="1:1" x14ac:dyDescent="0.35">
      <c r="A120" t="s">
        <v>415</v>
      </c>
    </row>
    <row r="121" spans="1:1" x14ac:dyDescent="0.35">
      <c r="A121" t="s">
        <v>416</v>
      </c>
    </row>
    <row r="122" spans="1:1" x14ac:dyDescent="0.35">
      <c r="A122" t="s">
        <v>417</v>
      </c>
    </row>
    <row r="123" spans="1:1" x14ac:dyDescent="0.35">
      <c r="A123" t="s">
        <v>418</v>
      </c>
    </row>
    <row r="124" spans="1:1" x14ac:dyDescent="0.35">
      <c r="A124" t="s">
        <v>419</v>
      </c>
    </row>
    <row r="125" spans="1:1" x14ac:dyDescent="0.35">
      <c r="A125" t="s">
        <v>420</v>
      </c>
    </row>
    <row r="126" spans="1:1" x14ac:dyDescent="0.35">
      <c r="A126" t="s">
        <v>421</v>
      </c>
    </row>
    <row r="127" spans="1:1" x14ac:dyDescent="0.35">
      <c r="A127" t="s">
        <v>422</v>
      </c>
    </row>
    <row r="128" spans="1:1" x14ac:dyDescent="0.35">
      <c r="A128" t="s">
        <v>423</v>
      </c>
    </row>
    <row r="129" spans="1:8" x14ac:dyDescent="0.35">
      <c r="A129" t="s">
        <v>424</v>
      </c>
    </row>
    <row r="130" spans="1:8" x14ac:dyDescent="0.35">
      <c r="A130" t="s">
        <v>425</v>
      </c>
    </row>
    <row r="132" spans="1:8" ht="17.5" x14ac:dyDescent="0.35">
      <c r="A132" s="166" t="s">
        <v>426</v>
      </c>
      <c r="C132" s="170"/>
    </row>
    <row r="133" spans="1:8" x14ac:dyDescent="0.35">
      <c r="A133" s="159"/>
      <c r="C133" s="156" t="s">
        <v>437</v>
      </c>
    </row>
    <row r="134" spans="1:8" ht="43.5" x14ac:dyDescent="0.35">
      <c r="A134" s="168" t="s">
        <v>427</v>
      </c>
      <c r="B134" s="169"/>
      <c r="C134" s="156" t="s">
        <v>438</v>
      </c>
      <c r="D134" s="169"/>
      <c r="E134" s="169"/>
      <c r="F134" s="169"/>
      <c r="G134" s="169"/>
      <c r="H134" s="169"/>
    </row>
    <row r="135" spans="1:8" x14ac:dyDescent="0.35">
      <c r="A135" s="159"/>
      <c r="C135" s="156" t="s">
        <v>439</v>
      </c>
    </row>
    <row r="136" spans="1:8" x14ac:dyDescent="0.35">
      <c r="A136" s="159" t="s">
        <v>428</v>
      </c>
    </row>
    <row r="137" spans="1:8" ht="17.5" x14ac:dyDescent="0.35">
      <c r="A137" s="159"/>
      <c r="C137" s="170" t="s">
        <v>441</v>
      </c>
    </row>
    <row r="138" spans="1:8" x14ac:dyDescent="0.35">
      <c r="A138" s="159"/>
    </row>
    <row r="139" spans="1:8" x14ac:dyDescent="0.35">
      <c r="A139" s="163"/>
      <c r="C139" s="175" t="s">
        <v>440</v>
      </c>
      <c r="D139" s="176"/>
      <c r="E139" s="176"/>
      <c r="F139" s="176"/>
    </row>
    <row r="140" spans="1:8" x14ac:dyDescent="0.35">
      <c r="A140" s="167" t="s">
        <v>429</v>
      </c>
      <c r="C140" s="173"/>
    </row>
    <row r="141" spans="1:8" x14ac:dyDescent="0.35">
      <c r="A141" s="163"/>
      <c r="C141" s="174" t="s">
        <v>442</v>
      </c>
    </row>
    <row r="142" spans="1:8" x14ac:dyDescent="0.35">
      <c r="A142" s="167" t="s">
        <v>430</v>
      </c>
      <c r="C142" s="171" t="s">
        <v>431</v>
      </c>
    </row>
    <row r="143" spans="1:8" x14ac:dyDescent="0.35">
      <c r="C143" s="172"/>
    </row>
    <row r="144" spans="1:8" x14ac:dyDescent="0.35">
      <c r="C144" s="173"/>
    </row>
    <row r="145" spans="3:7" x14ac:dyDescent="0.35">
      <c r="C145" s="174" t="s">
        <v>432</v>
      </c>
    </row>
    <row r="147" spans="3:7" x14ac:dyDescent="0.35">
      <c r="C147" s="172"/>
    </row>
    <row r="148" spans="3:7" x14ac:dyDescent="0.35">
      <c r="C148" s="175" t="s">
        <v>443</v>
      </c>
      <c r="D148" s="176"/>
      <c r="E148" s="176"/>
      <c r="F148" s="176"/>
      <c r="G148" s="176"/>
    </row>
    <row r="149" spans="3:7" x14ac:dyDescent="0.35">
      <c r="C149" s="174" t="s">
        <v>433</v>
      </c>
    </row>
    <row r="151" spans="3:7" ht="17.5" x14ac:dyDescent="0.35">
      <c r="C151" s="170" t="s">
        <v>444</v>
      </c>
    </row>
    <row r="152" spans="3:7" x14ac:dyDescent="0.35">
      <c r="C152" s="171" t="s">
        <v>434</v>
      </c>
    </row>
    <row r="153" spans="3:7" x14ac:dyDescent="0.35">
      <c r="C153" s="174" t="s">
        <v>435</v>
      </c>
    </row>
    <row r="154" spans="3:7" x14ac:dyDescent="0.35">
      <c r="C154" s="174" t="s">
        <v>445</v>
      </c>
    </row>
    <row r="156" spans="3:7" ht="17.5" x14ac:dyDescent="0.35">
      <c r="C156" s="170" t="s">
        <v>436</v>
      </c>
    </row>
    <row r="157" spans="3:7" x14ac:dyDescent="0.35">
      <c r="C157" s="171" t="s">
        <v>448</v>
      </c>
    </row>
    <row r="158" spans="3:7" x14ac:dyDescent="0.35">
      <c r="F158" t="s">
        <v>449</v>
      </c>
    </row>
    <row r="160" spans="3:7" x14ac:dyDescent="0.35">
      <c r="C160" s="171" t="s">
        <v>446</v>
      </c>
    </row>
    <row r="161" spans="5:5" x14ac:dyDescent="0.35">
      <c r="E161" t="s">
        <v>447</v>
      </c>
    </row>
  </sheetData>
  <hyperlinks>
    <hyperlink ref="A5" location="'Memoria de calculo del ahorro'!A107" display="Ahorro (A) = Gasto Actual (C) x Factor de Eficiencia (Ef)" xr:uid="{A93C6F18-8843-44EB-9047-BD5AA8DE7633}"/>
    <hyperlink ref="A8:A9" location="'Memoria de calculo del ahorro'!A135" display="• Estrato Base (Niveles 1 y 2): Ef = 0.05 (5% de ahorro). Derivado de la mejora del tiro perimetral del aire y estabilización de la masa térmica." xr:uid="{119149B6-EFFC-4592-9AE2-45A98F74ACDA}"/>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Matriz Layout Camara</vt:lpstr>
      <vt:lpstr>Consumo energia Total Franq</vt:lpstr>
      <vt:lpstr>Propuesta Reubicacion en camara</vt:lpstr>
      <vt:lpstr>Caso de Negocio </vt:lpstr>
      <vt:lpstr>Diferencias</vt:lpstr>
      <vt:lpstr>Layout producto en camara</vt:lpstr>
      <vt:lpstr>Memoria de calculo del ahorro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Delfina BB3 Nardone</dc:creator>
  <dc:description/>
  <cp:lastModifiedBy>Gustavo Nardone</cp:lastModifiedBy>
  <cp:revision>6</cp:revision>
  <dcterms:created xsi:type="dcterms:W3CDTF">2026-09-03T17:24:11Z</dcterms:created>
  <dcterms:modified xsi:type="dcterms:W3CDTF">2026-09-22T22:49:39Z</dcterms:modified>
  <dc:language>en-US</dc:language>
</cp:coreProperties>
</file>