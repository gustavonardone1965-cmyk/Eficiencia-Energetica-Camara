
<file path=[Content_Types].xml><?xml version="1.0" encoding="utf-8"?>
<Types xmlns="http://schemas.openxmlformats.org/package/2006/content-types">
  <Default Extension="emf" ContentType="image/x-emf"/>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drawings/drawing2.xml" ContentType="application/vnd.openxmlformats-officedocument.drawing+xml"/>
  <Override PartName="/xl/drawings/drawing3.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openxmlformats.org/package/2006/relationships/metadata/thumbnail" Target="docProps/thumbnail.emf"/><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G:\My Drive\OPERACIONES\PROYECTOS VIGENTES\HELACOR\HELACOR - GESTIÓN DE EXCELENCIA\Gestión de Excelencia\PDCA y PILOTO 17 franquicias\LEAN en Franquicias\Franquicia\Velez Sarsfield 3300\Tarjetas Kanban\"/>
    </mc:Choice>
  </mc:AlternateContent>
  <xr:revisionPtr revIDLastSave="0" documentId="13_ncr:1_{37AAD621-D9E2-4482-AD1F-7D8469587621}" xr6:coauthVersionLast="47" xr6:coauthVersionMax="47" xr10:uidLastSave="{00000000-0000-0000-0000-000000000000}"/>
  <bookViews>
    <workbookView xWindow="-110" yWindow="-110" windowWidth="19420" windowHeight="11500" tabRatio="500" xr2:uid="{00000000-000D-0000-FFFF-FFFF00000000}"/>
  </bookViews>
  <sheets>
    <sheet name="Matriz Layout Camara" sheetId="1" r:id="rId1"/>
    <sheet name="Consumo energia Total Franq" sheetId="4" r:id="rId2"/>
    <sheet name="Propuesta Reubicacion en camara" sheetId="2" r:id="rId3"/>
    <sheet name="Caso de Negocio " sheetId="3" r:id="rId4"/>
    <sheet name="Diferencias" sheetId="5" r:id="rId5"/>
    <sheet name="Layout producto en camara" sheetId="6" r:id="rId6"/>
    <sheet name="Memoria de calculo del ahorro" sheetId="8" r:id="rId7"/>
  </sheets>
  <definedNames>
    <definedName name="_xlnm._FilterDatabase" localSheetId="4" hidden="1">Diferencias!$A$5:$F$22</definedName>
  </definedNames>
  <calcPr calcId="191029" iterateDelta="1E-4"/>
  <extLst>
    <ext xmlns:loext="http://schemas.libreoffice.org/" uri="{7626C862-2A13-11E5-B345-FEFF819CDC9F}">
      <loext:extCalcPr stringRefSyntax="ExcelA1"/>
    </ext>
  </extLst>
</workbook>
</file>

<file path=xl/calcChain.xml><?xml version="1.0" encoding="utf-8"?>
<calcChain xmlns="http://schemas.openxmlformats.org/spreadsheetml/2006/main">
  <c r="AQ26" i="1" l="1"/>
  <c r="AQ20" i="1"/>
  <c r="AQ18" i="1"/>
  <c r="AQ3" i="1"/>
  <c r="AJ26" i="1"/>
  <c r="AK26" i="1"/>
  <c r="AL26" i="1"/>
  <c r="AM26" i="1" s="1"/>
  <c r="C3" i="1"/>
  <c r="C4" i="1"/>
  <c r="C5" i="1"/>
  <c r="C6" i="1"/>
  <c r="C7" i="1"/>
  <c r="C8" i="1"/>
  <c r="C9" i="1"/>
  <c r="C10" i="1"/>
  <c r="C11" i="1"/>
  <c r="C12" i="1"/>
  <c r="C13" i="1"/>
  <c r="C14" i="1"/>
  <c r="C15" i="1"/>
  <c r="C16" i="1"/>
  <c r="C17" i="1"/>
  <c r="C18" i="1"/>
  <c r="C19" i="1"/>
  <c r="C20" i="1"/>
  <c r="C21" i="1"/>
  <c r="C22" i="1"/>
  <c r="C23" i="1"/>
  <c r="C24" i="1"/>
  <c r="C25" i="1"/>
  <c r="C26" i="1"/>
  <c r="C27" i="1"/>
  <c r="C2" i="1"/>
  <c r="AB26" i="1"/>
  <c r="AB25" i="1"/>
  <c r="AB24" i="1"/>
  <c r="AB23" i="1"/>
  <c r="AB22" i="1"/>
  <c r="AB21" i="1"/>
  <c r="AN26" i="1"/>
  <c r="W27" i="1"/>
  <c r="V26" i="1"/>
  <c r="Y26" i="1" s="1"/>
  <c r="Q26" i="1"/>
  <c r="U26" i="1" s="1"/>
  <c r="Z26" i="1" s="1"/>
  <c r="O26" i="1"/>
  <c r="W18" i="1"/>
  <c r="W17" i="1"/>
  <c r="W16" i="1"/>
  <c r="AB16" i="1" s="1"/>
  <c r="W15" i="1"/>
  <c r="AB15" i="1" s="1"/>
  <c r="W14" i="1"/>
  <c r="W13" i="1"/>
  <c r="AB13" i="1" s="1"/>
  <c r="V18" i="1"/>
  <c r="Y18" i="1" s="1"/>
  <c r="V17" i="1"/>
  <c r="Y17" i="1" s="1"/>
  <c r="V16" i="1"/>
  <c r="Y16" i="1" s="1"/>
  <c r="V15" i="1"/>
  <c r="Y15" i="1" s="1"/>
  <c r="V14" i="1"/>
  <c r="Y14" i="1" s="1"/>
  <c r="V13" i="1"/>
  <c r="Y13" i="1" s="1"/>
  <c r="V21" i="1"/>
  <c r="Y21" i="1" s="1"/>
  <c r="V25" i="1"/>
  <c r="Y25" i="1" s="1"/>
  <c r="V24" i="1"/>
  <c r="Y24" i="1" s="1"/>
  <c r="V22" i="1"/>
  <c r="Y22" i="1" s="1"/>
  <c r="V23" i="1"/>
  <c r="Y23" i="1" s="1"/>
  <c r="O25" i="1"/>
  <c r="O24" i="1"/>
  <c r="O23" i="1"/>
  <c r="O22" i="1"/>
  <c r="O21" i="1"/>
  <c r="R23" i="1"/>
  <c r="Q23" i="1"/>
  <c r="U23" i="1" s="1"/>
  <c r="Z23" i="1" s="1"/>
  <c r="Q22" i="1"/>
  <c r="U22" i="1" s="1"/>
  <c r="Z22" i="1" s="1"/>
  <c r="Q25" i="1"/>
  <c r="U25" i="1" s="1"/>
  <c r="Z25" i="1" s="1"/>
  <c r="Q24" i="1"/>
  <c r="R24" i="1" s="1"/>
  <c r="Q21" i="1"/>
  <c r="R21" i="1" s="1"/>
  <c r="D30" i="3"/>
  <c r="D29" i="3"/>
  <c r="D28" i="3"/>
  <c r="E22" i="3"/>
  <c r="E21" i="3"/>
  <c r="D15" i="3"/>
  <c r="E23" i="3" s="1"/>
  <c r="C27" i="2"/>
  <c r="B27" i="2"/>
  <c r="H27" i="2" s="1"/>
  <c r="A27" i="2"/>
  <c r="N27" i="2" s="1"/>
  <c r="C26" i="2"/>
  <c r="B26" i="2"/>
  <c r="H26" i="2" s="1"/>
  <c r="A26" i="2"/>
  <c r="N26" i="2" s="1"/>
  <c r="C25" i="2"/>
  <c r="B25" i="2"/>
  <c r="H25" i="2" s="1"/>
  <c r="A25" i="2"/>
  <c r="N25" i="2" s="1"/>
  <c r="C24" i="2"/>
  <c r="B24" i="2"/>
  <c r="H24" i="2" s="1"/>
  <c r="A24" i="2"/>
  <c r="N24" i="2" s="1"/>
  <c r="C23" i="2"/>
  <c r="B23" i="2"/>
  <c r="H23" i="2" s="1"/>
  <c r="A23" i="2"/>
  <c r="N23" i="2" s="1"/>
  <c r="C22" i="2"/>
  <c r="B22" i="2"/>
  <c r="H22" i="2" s="1"/>
  <c r="A22" i="2"/>
  <c r="N22" i="2" s="1"/>
  <c r="C21" i="2"/>
  <c r="B21" i="2"/>
  <c r="H21" i="2" s="1"/>
  <c r="A21" i="2"/>
  <c r="N21" i="2" s="1"/>
  <c r="C20" i="2"/>
  <c r="B20" i="2"/>
  <c r="H20" i="2" s="1"/>
  <c r="A20" i="2"/>
  <c r="N20" i="2" s="1"/>
  <c r="C19" i="2"/>
  <c r="B19" i="2"/>
  <c r="H19" i="2" s="1"/>
  <c r="A19" i="2"/>
  <c r="C18" i="2"/>
  <c r="B18" i="2"/>
  <c r="H18" i="2" s="1"/>
  <c r="A18" i="2"/>
  <c r="C17" i="2"/>
  <c r="B17" i="2"/>
  <c r="H17" i="2" s="1"/>
  <c r="A17" i="2"/>
  <c r="C16" i="2"/>
  <c r="B16" i="2"/>
  <c r="H16" i="2" s="1"/>
  <c r="A16" i="2"/>
  <c r="C15" i="2"/>
  <c r="B15" i="2"/>
  <c r="H15" i="2" s="1"/>
  <c r="A15" i="2"/>
  <c r="C14" i="2"/>
  <c r="B14" i="2"/>
  <c r="H14" i="2" s="1"/>
  <c r="A14" i="2"/>
  <c r="C13" i="2"/>
  <c r="B13" i="2"/>
  <c r="H13" i="2" s="1"/>
  <c r="A13" i="2"/>
  <c r="C12" i="2"/>
  <c r="B12" i="2"/>
  <c r="H12" i="2" s="1"/>
  <c r="A12" i="2"/>
  <c r="C11" i="2"/>
  <c r="B11" i="2"/>
  <c r="H11" i="2" s="1"/>
  <c r="A11" i="2"/>
  <c r="C10" i="2"/>
  <c r="B10" i="2"/>
  <c r="H10" i="2" s="1"/>
  <c r="A10" i="2"/>
  <c r="N10" i="2" s="1"/>
  <c r="C9" i="2"/>
  <c r="B9" i="2"/>
  <c r="H9" i="2" s="1"/>
  <c r="A9" i="2"/>
  <c r="N9" i="2" s="1"/>
  <c r="AN20" i="1"/>
  <c r="AL20" i="1"/>
  <c r="AM20" i="1" s="1"/>
  <c r="W20" i="1"/>
  <c r="AB20" i="1" s="1"/>
  <c r="V20" i="1"/>
  <c r="Y20" i="1" s="1"/>
  <c r="Q20" i="1"/>
  <c r="U20" i="1" s="1"/>
  <c r="O20" i="1"/>
  <c r="W19" i="1"/>
  <c r="AB19" i="1" s="1"/>
  <c r="V19" i="1"/>
  <c r="Y19" i="1" s="1"/>
  <c r="Q19" i="1"/>
  <c r="U19" i="1" s="1"/>
  <c r="O19" i="1"/>
  <c r="AN18" i="1"/>
  <c r="AL18" i="1"/>
  <c r="AM18" i="1" s="1"/>
  <c r="AB18" i="1"/>
  <c r="S18" i="1"/>
  <c r="Q18" i="1"/>
  <c r="N18" i="1"/>
  <c r="AB17" i="1"/>
  <c r="S17" i="1"/>
  <c r="Q17" i="1"/>
  <c r="N17" i="1"/>
  <c r="S16" i="1"/>
  <c r="Q16" i="1"/>
  <c r="N16" i="1"/>
  <c r="S15" i="1"/>
  <c r="Q15" i="1"/>
  <c r="N15" i="1"/>
  <c r="AB14" i="1"/>
  <c r="S14" i="1"/>
  <c r="Q14" i="1"/>
  <c r="N14" i="1"/>
  <c r="O14" i="1" s="1"/>
  <c r="S13" i="1"/>
  <c r="Q13" i="1"/>
  <c r="N13" i="1"/>
  <c r="O13" i="1" s="1"/>
  <c r="W12" i="1"/>
  <c r="AB12" i="1" s="1"/>
  <c r="V12" i="1"/>
  <c r="Y12" i="1" s="1"/>
  <c r="S12" i="1"/>
  <c r="Q12" i="1"/>
  <c r="N12" i="1"/>
  <c r="O12" i="1" s="1"/>
  <c r="W11" i="1"/>
  <c r="AB11" i="1" s="1"/>
  <c r="V11" i="1"/>
  <c r="Y11" i="1" s="1"/>
  <c r="S11" i="1"/>
  <c r="Q11" i="1"/>
  <c r="N11" i="1"/>
  <c r="O11" i="1" s="1"/>
  <c r="W10" i="1"/>
  <c r="AB10" i="1" s="1"/>
  <c r="V10" i="1"/>
  <c r="Y10" i="1" s="1"/>
  <c r="S10" i="1"/>
  <c r="Q10" i="1"/>
  <c r="U10" i="1" s="1"/>
  <c r="N10" i="1"/>
  <c r="W9" i="1"/>
  <c r="AB9" i="1" s="1"/>
  <c r="V9" i="1"/>
  <c r="Y9" i="1" s="1"/>
  <c r="S9" i="1"/>
  <c r="Q9" i="1"/>
  <c r="N9" i="1"/>
  <c r="O9" i="1" s="1"/>
  <c r="W8" i="1"/>
  <c r="AB8" i="1" s="1"/>
  <c r="V8" i="1"/>
  <c r="Y8" i="1" s="1"/>
  <c r="S8" i="1"/>
  <c r="Q8" i="1"/>
  <c r="N8" i="1"/>
  <c r="O8" i="1" s="1"/>
  <c r="W7" i="1"/>
  <c r="AB7" i="1" s="1"/>
  <c r="V7" i="1"/>
  <c r="Y7" i="1" s="1"/>
  <c r="S7" i="1"/>
  <c r="Q7" i="1"/>
  <c r="N7" i="1"/>
  <c r="O7" i="1" s="1"/>
  <c r="W6" i="1"/>
  <c r="AB6" i="1" s="1"/>
  <c r="V6" i="1"/>
  <c r="Y6" i="1" s="1"/>
  <c r="S6" i="1"/>
  <c r="Q6" i="1"/>
  <c r="N6" i="1"/>
  <c r="O6" i="1" s="1"/>
  <c r="W5" i="1"/>
  <c r="AB5" i="1" s="1"/>
  <c r="V5" i="1"/>
  <c r="Y5" i="1" s="1"/>
  <c r="S5" i="1"/>
  <c r="Q5" i="1"/>
  <c r="N5" i="1"/>
  <c r="W4" i="1"/>
  <c r="V4" i="1"/>
  <c r="Y4" i="1" s="1"/>
  <c r="S4" i="1"/>
  <c r="Q4" i="1"/>
  <c r="N4" i="1"/>
  <c r="O4" i="1" s="1"/>
  <c r="AN3" i="1"/>
  <c r="AL3" i="1"/>
  <c r="AM3" i="1" s="1"/>
  <c r="AA3" i="1"/>
  <c r="AB3" i="1" s="1"/>
  <c r="Y3" i="1"/>
  <c r="Q3" i="1"/>
  <c r="U3" i="1" s="1"/>
  <c r="Z3" i="1" s="1"/>
  <c r="F10" i="2" s="1"/>
  <c r="C22" i="3" s="1"/>
  <c r="D22" i="3" s="1"/>
  <c r="F22" i="3" s="1"/>
  <c r="O3" i="1"/>
  <c r="AB2" i="1"/>
  <c r="Y2" i="1"/>
  <c r="U2" i="1"/>
  <c r="Z2" i="1" s="1"/>
  <c r="F9" i="2" s="1"/>
  <c r="R2" i="1"/>
  <c r="E9" i="2" s="1"/>
  <c r="O2" i="1"/>
  <c r="AD21" i="1" l="1"/>
  <c r="AD23" i="1"/>
  <c r="U12" i="1"/>
  <c r="Z20" i="1"/>
  <c r="F27" i="2" s="1"/>
  <c r="C24" i="3" s="1"/>
  <c r="D24" i="3" s="1"/>
  <c r="AD20" i="1"/>
  <c r="AD2" i="1"/>
  <c r="U4" i="1"/>
  <c r="AD19" i="1"/>
  <c r="R5" i="1"/>
  <c r="E12" i="2" s="1"/>
  <c r="AD26" i="1"/>
  <c r="R26" i="1"/>
  <c r="AD22" i="1"/>
  <c r="U16" i="1"/>
  <c r="R22" i="1"/>
  <c r="AD24" i="1"/>
  <c r="AC20" i="1"/>
  <c r="AC2" i="1"/>
  <c r="AD6" i="1"/>
  <c r="AD10" i="1"/>
  <c r="Z12" i="1"/>
  <c r="F19" i="2" s="1"/>
  <c r="AD13" i="1"/>
  <c r="U15" i="1"/>
  <c r="Z15" i="1" s="1"/>
  <c r="F22" i="2" s="1"/>
  <c r="R7" i="1"/>
  <c r="E14" i="2" s="1"/>
  <c r="U8" i="1"/>
  <c r="Z8" i="1" s="1"/>
  <c r="F15" i="2" s="1"/>
  <c r="AD15" i="1"/>
  <c r="R25" i="1"/>
  <c r="U11" i="1"/>
  <c r="Z11" i="1" s="1"/>
  <c r="F18" i="2" s="1"/>
  <c r="U14" i="1"/>
  <c r="Z14" i="1" s="1"/>
  <c r="F21" i="2" s="1"/>
  <c r="R18" i="1"/>
  <c r="E25" i="2" s="1"/>
  <c r="AD5" i="1"/>
  <c r="AD12" i="1"/>
  <c r="Z16" i="1"/>
  <c r="F23" i="2" s="1"/>
  <c r="R3" i="1"/>
  <c r="E10" i="2" s="1"/>
  <c r="U7" i="1"/>
  <c r="Z7" i="1" s="1"/>
  <c r="F14" i="2" s="1"/>
  <c r="AD8" i="1"/>
  <c r="R10" i="1"/>
  <c r="E17" i="2" s="1"/>
  <c r="U18" i="1"/>
  <c r="Z18" i="1" s="1"/>
  <c r="F25" i="2" s="1"/>
  <c r="D34" i="2" s="1"/>
  <c r="AC22" i="1"/>
  <c r="U6" i="1"/>
  <c r="Z6" i="1" s="1"/>
  <c r="F13" i="2" s="1"/>
  <c r="Z10" i="1"/>
  <c r="F17" i="2" s="1"/>
  <c r="AD11" i="1"/>
  <c r="AD14" i="1"/>
  <c r="AC3" i="1"/>
  <c r="U13" i="1"/>
  <c r="Z13" i="1" s="1"/>
  <c r="F20" i="2" s="1"/>
  <c r="R15" i="1"/>
  <c r="E22" i="2" s="1"/>
  <c r="R20" i="1"/>
  <c r="E27" i="2" s="1"/>
  <c r="AC23" i="1"/>
  <c r="AE20" i="1"/>
  <c r="AG20" i="1" s="1"/>
  <c r="AD25" i="1"/>
  <c r="AD3" i="1"/>
  <c r="AE3" i="1" s="1"/>
  <c r="R12" i="1"/>
  <c r="E19" i="2" s="1"/>
  <c r="R16" i="1"/>
  <c r="E23" i="2" s="1"/>
  <c r="U17" i="1"/>
  <c r="Z17" i="1" s="1"/>
  <c r="F24" i="2" s="1"/>
  <c r="U24" i="1"/>
  <c r="Z24" i="1" s="1"/>
  <c r="AC24" i="1"/>
  <c r="AE24" i="1" s="1"/>
  <c r="Z4" i="1"/>
  <c r="F11" i="2" s="1"/>
  <c r="R6" i="1"/>
  <c r="E13" i="2" s="1"/>
  <c r="AO26" i="1"/>
  <c r="AC25" i="1"/>
  <c r="AC19" i="1"/>
  <c r="AE19" i="1" s="1"/>
  <c r="AF19" i="1" s="1"/>
  <c r="AC26" i="1"/>
  <c r="AO3" i="1"/>
  <c r="U5" i="1"/>
  <c r="Z5" i="1" s="1"/>
  <c r="F12" i="2" s="1"/>
  <c r="R11" i="1"/>
  <c r="E18" i="2" s="1"/>
  <c r="O18" i="1"/>
  <c r="Z19" i="1"/>
  <c r="F26" i="2" s="1"/>
  <c r="C23" i="3" s="1"/>
  <c r="D23" i="3" s="1"/>
  <c r="F23" i="3" s="1"/>
  <c r="AO20" i="1"/>
  <c r="R19" i="1"/>
  <c r="E26" i="2" s="1"/>
  <c r="AD16" i="1"/>
  <c r="U21" i="1"/>
  <c r="Z21" i="1" s="1"/>
  <c r="AC21" i="1"/>
  <c r="AE2" i="1"/>
  <c r="AF2" i="1" s="1"/>
  <c r="U9" i="1"/>
  <c r="Z9" i="1" s="1"/>
  <c r="F16" i="2" s="1"/>
  <c r="R17" i="1"/>
  <c r="E24" i="2" s="1"/>
  <c r="AC17" i="1"/>
  <c r="I16" i="2"/>
  <c r="I18" i="2"/>
  <c r="I20" i="2"/>
  <c r="I24" i="2"/>
  <c r="AD18" i="1"/>
  <c r="AC18" i="1"/>
  <c r="AE18" i="1" s="1"/>
  <c r="I15" i="2"/>
  <c r="I11" i="2"/>
  <c r="I27" i="2"/>
  <c r="C21" i="3"/>
  <c r="D21" i="3" s="1"/>
  <c r="F21" i="3" s="1"/>
  <c r="AD7" i="1"/>
  <c r="AC7" i="1"/>
  <c r="I14" i="2"/>
  <c r="I17" i="2"/>
  <c r="I9" i="2"/>
  <c r="I23" i="2"/>
  <c r="R8" i="1"/>
  <c r="E15" i="2" s="1"/>
  <c r="AC13" i="1"/>
  <c r="AE13" i="1" s="1"/>
  <c r="O15" i="1"/>
  <c r="AB4" i="1"/>
  <c r="AD4" i="1" s="1"/>
  <c r="O5" i="1"/>
  <c r="AD9" i="1"/>
  <c r="O10" i="1"/>
  <c r="R14" i="1"/>
  <c r="E21" i="2" s="1"/>
  <c r="AC14" i="1"/>
  <c r="R13" i="1"/>
  <c r="E20" i="2" s="1"/>
  <c r="R4" i="1"/>
  <c r="E11" i="2" s="1"/>
  <c r="R9" i="1"/>
  <c r="E16" i="2" s="1"/>
  <c r="AC9" i="1"/>
  <c r="O16" i="1"/>
  <c r="AC10" i="1"/>
  <c r="AE10" i="1" s="1"/>
  <c r="AC15" i="1"/>
  <c r="AE15" i="1" s="1"/>
  <c r="O17" i="1"/>
  <c r="I21" i="2"/>
  <c r="AO18" i="1"/>
  <c r="AC5" i="1"/>
  <c r="AC16" i="1"/>
  <c r="I10" i="2"/>
  <c r="I12" i="2"/>
  <c r="I19" i="2"/>
  <c r="AC6" i="1"/>
  <c r="AC11" i="1"/>
  <c r="AE11" i="1" s="1"/>
  <c r="AD17" i="1"/>
  <c r="I26" i="2"/>
  <c r="AC8" i="1"/>
  <c r="AE8" i="1" s="1"/>
  <c r="I13" i="2"/>
  <c r="I22" i="2"/>
  <c r="I25" i="2"/>
  <c r="AC12" i="1"/>
  <c r="E24" i="3"/>
  <c r="F24" i="3" s="1"/>
  <c r="AE23" i="1" l="1"/>
  <c r="AF23" i="1" s="1"/>
  <c r="AE21" i="1"/>
  <c r="AF21" i="1" s="1"/>
  <c r="AE26" i="1"/>
  <c r="AE6" i="1"/>
  <c r="AE14" i="1"/>
  <c r="AE22" i="1"/>
  <c r="AG22" i="1" s="1"/>
  <c r="AH22" i="1" s="1"/>
  <c r="AF20" i="1"/>
  <c r="AE25" i="1"/>
  <c r="AG25" i="1" s="1"/>
  <c r="AH25" i="1" s="1"/>
  <c r="O1048576" i="1"/>
  <c r="AI22" i="1" s="1"/>
  <c r="AE5" i="1"/>
  <c r="AE17" i="1"/>
  <c r="AG17" i="1" s="1"/>
  <c r="AG2" i="1"/>
  <c r="P20" i="1"/>
  <c r="AE12" i="1"/>
  <c r="AG12" i="1" s="1"/>
  <c r="AG3" i="1"/>
  <c r="AH3" i="1" s="1"/>
  <c r="AF3" i="1"/>
  <c r="AE9" i="1"/>
  <c r="AG19" i="1"/>
  <c r="AH19" i="1" s="1"/>
  <c r="P26" i="1"/>
  <c r="P25" i="1"/>
  <c r="T26" i="1"/>
  <c r="P24" i="1"/>
  <c r="T25" i="1"/>
  <c r="P23" i="1"/>
  <c r="T24" i="1"/>
  <c r="P22" i="1"/>
  <c r="T23" i="1"/>
  <c r="P21" i="1"/>
  <c r="T22" i="1"/>
  <c r="T21" i="1"/>
  <c r="P2" i="1"/>
  <c r="AF26" i="1"/>
  <c r="AG26" i="1"/>
  <c r="AH26" i="1" s="1"/>
  <c r="T3" i="1"/>
  <c r="G10" i="2" s="1"/>
  <c r="B22" i="3" s="1"/>
  <c r="H22" i="3" s="1"/>
  <c r="T2" i="1"/>
  <c r="G9" i="2" s="1"/>
  <c r="P19" i="1"/>
  <c r="T19" i="1"/>
  <c r="G26" i="2" s="1"/>
  <c r="B23" i="3" s="1"/>
  <c r="T20" i="1"/>
  <c r="G27" i="2" s="1"/>
  <c r="B24" i="3" s="1"/>
  <c r="G24" i="3" s="1"/>
  <c r="AE16" i="1"/>
  <c r="AG16" i="1" s="1"/>
  <c r="P3" i="1"/>
  <c r="AG21" i="1"/>
  <c r="AH21" i="1" s="1"/>
  <c r="AF24" i="1"/>
  <c r="AG24" i="1"/>
  <c r="AH24" i="1" s="1"/>
  <c r="K11" i="2"/>
  <c r="K9" i="2"/>
  <c r="AG11" i="1"/>
  <c r="AF11" i="1"/>
  <c r="AF5" i="1"/>
  <c r="AG5" i="1"/>
  <c r="K22" i="2"/>
  <c r="K26" i="2"/>
  <c r="K20" i="2"/>
  <c r="K25" i="2"/>
  <c r="K18" i="2"/>
  <c r="AF6" i="1"/>
  <c r="AG6" i="1"/>
  <c r="K23" i="2"/>
  <c r="D27" i="2"/>
  <c r="AH20" i="1"/>
  <c r="AG9" i="1"/>
  <c r="AF9" i="1"/>
  <c r="AG13" i="1"/>
  <c r="AF13" i="1"/>
  <c r="K10" i="2"/>
  <c r="K12" i="2"/>
  <c r="K14" i="2"/>
  <c r="AG18" i="1"/>
  <c r="AF18" i="1"/>
  <c r="AG15" i="1"/>
  <c r="AF15" i="1"/>
  <c r="K16" i="2"/>
  <c r="AG14" i="1"/>
  <c r="AF14" i="1"/>
  <c r="K15" i="2"/>
  <c r="K24" i="2"/>
  <c r="K13" i="2"/>
  <c r="P18" i="1"/>
  <c r="T17" i="1"/>
  <c r="G24" i="2" s="1"/>
  <c r="P16" i="1"/>
  <c r="T15" i="1"/>
  <c r="G22" i="2" s="1"/>
  <c r="P14" i="1"/>
  <c r="T13" i="1"/>
  <c r="G20" i="2" s="1"/>
  <c r="P12" i="1"/>
  <c r="T11" i="1"/>
  <c r="G18" i="2" s="1"/>
  <c r="P10" i="1"/>
  <c r="T9" i="1"/>
  <c r="G16" i="2" s="1"/>
  <c r="P8" i="1"/>
  <c r="T7" i="1"/>
  <c r="G14" i="2" s="1"/>
  <c r="P6" i="1"/>
  <c r="T5" i="1"/>
  <c r="G12" i="2" s="1"/>
  <c r="P4" i="1"/>
  <c r="T16" i="1"/>
  <c r="G23" i="2" s="1"/>
  <c r="P13" i="1"/>
  <c r="P7" i="1"/>
  <c r="T10" i="1"/>
  <c r="G17" i="2" s="1"/>
  <c r="P17" i="1"/>
  <c r="T4" i="1"/>
  <c r="G11" i="2" s="1"/>
  <c r="T12" i="1"/>
  <c r="G19" i="2" s="1"/>
  <c r="T14" i="1"/>
  <c r="G21" i="2" s="1"/>
  <c r="P11" i="1"/>
  <c r="T6" i="1"/>
  <c r="G13" i="2" s="1"/>
  <c r="T8" i="1"/>
  <c r="G15" i="2" s="1"/>
  <c r="P5" i="1"/>
  <c r="P9" i="1"/>
  <c r="T18" i="1"/>
  <c r="G25" i="2" s="1"/>
  <c r="P15" i="1"/>
  <c r="AG8" i="1"/>
  <c r="AF8" i="1"/>
  <c r="AF10" i="1"/>
  <c r="AG10" i="1"/>
  <c r="AC4" i="1"/>
  <c r="AE4" i="1" s="1"/>
  <c r="K21" i="2"/>
  <c r="K17" i="2"/>
  <c r="K19" i="2"/>
  <c r="B21" i="3"/>
  <c r="AF16" i="1"/>
  <c r="AE7" i="1"/>
  <c r="K27" i="2"/>
  <c r="D9" i="2"/>
  <c r="AH2" i="1"/>
  <c r="AG23" i="1" l="1"/>
  <c r="AH23" i="1" s="1"/>
  <c r="AF25" i="1"/>
  <c r="AF22" i="1"/>
  <c r="D26" i="2"/>
  <c r="D32" i="2"/>
  <c r="D37" i="2" s="1"/>
  <c r="D31" i="2"/>
  <c r="G22" i="3"/>
  <c r="H24" i="3"/>
  <c r="AF17" i="1"/>
  <c r="D10" i="2"/>
  <c r="H23" i="3"/>
  <c r="G23" i="3"/>
  <c r="AI15" i="1"/>
  <c r="AI13" i="1"/>
  <c r="AI25" i="1"/>
  <c r="AI19" i="1"/>
  <c r="AI5" i="1"/>
  <c r="AI7" i="1"/>
  <c r="AI21" i="1"/>
  <c r="AI4" i="1"/>
  <c r="AF12" i="1"/>
  <c r="AI3" i="1"/>
  <c r="AI11" i="1"/>
  <c r="AI23" i="1"/>
  <c r="AI26" i="1"/>
  <c r="AI17" i="1"/>
  <c r="AI14" i="1"/>
  <c r="AI8" i="1"/>
  <c r="AI6" i="1"/>
  <c r="AI20" i="1"/>
  <c r="AI24" i="1"/>
  <c r="AI2" i="1"/>
  <c r="AI16" i="1"/>
  <c r="AI12" i="1"/>
  <c r="AI10" i="1"/>
  <c r="AI18" i="1"/>
  <c r="AI9" i="1"/>
  <c r="D15" i="2"/>
  <c r="AH8" i="1"/>
  <c r="D23" i="2"/>
  <c r="AH16" i="1"/>
  <c r="AH9" i="1"/>
  <c r="D16" i="2"/>
  <c r="AG4" i="1"/>
  <c r="AF4" i="1"/>
  <c r="AH15" i="1"/>
  <c r="D22" i="2"/>
  <c r="AH5" i="1"/>
  <c r="D12" i="2"/>
  <c r="H21" i="3"/>
  <c r="G21" i="3"/>
  <c r="G25" i="3" s="1"/>
  <c r="B25" i="3"/>
  <c r="AH10" i="1"/>
  <c r="D17" i="2"/>
  <c r="AH6" i="1"/>
  <c r="D13" i="2"/>
  <c r="D19" i="2"/>
  <c r="AH12" i="1"/>
  <c r="D18" i="2"/>
  <c r="AH11" i="1"/>
  <c r="AG7" i="1"/>
  <c r="AF7" i="1"/>
  <c r="AH14" i="1"/>
  <c r="D21" i="2"/>
  <c r="AH18" i="1"/>
  <c r="D25" i="2"/>
  <c r="D20" i="2"/>
  <c r="AH13" i="1"/>
  <c r="D24" i="2"/>
  <c r="AH17" i="1"/>
  <c r="H25" i="3" l="1"/>
  <c r="F37" i="2"/>
  <c r="G37" i="2" s="1"/>
  <c r="D33" i="2"/>
  <c r="A6" i="3" s="1"/>
  <c r="I25" i="3"/>
  <c r="AH7" i="1"/>
  <c r="D14" i="2"/>
  <c r="D11" i="2"/>
  <c r="J12" i="2" s="1"/>
  <c r="L12" i="2" s="1"/>
  <c r="M12" i="2" s="1"/>
  <c r="N12" i="2" s="1"/>
  <c r="AH4" i="1"/>
  <c r="E6" i="3"/>
  <c r="C6" i="3"/>
  <c r="J18" i="2" l="1"/>
  <c r="L18" i="2" s="1"/>
  <c r="M18" i="2" s="1"/>
  <c r="N18" i="2" s="1"/>
  <c r="J14" i="2"/>
  <c r="L14" i="2" s="1"/>
  <c r="M14" i="2" s="1"/>
  <c r="N14" i="2" s="1"/>
  <c r="J23" i="2"/>
  <c r="L23" i="2" s="1"/>
  <c r="M23" i="2" s="1"/>
  <c r="J15" i="2"/>
  <c r="L15" i="2" s="1"/>
  <c r="M15" i="2" s="1"/>
  <c r="N15" i="2" s="1"/>
  <c r="J17" i="2"/>
  <c r="L17" i="2" s="1"/>
  <c r="M17" i="2" s="1"/>
  <c r="N17" i="2" s="1"/>
  <c r="J19" i="2"/>
  <c r="L19" i="2" s="1"/>
  <c r="M19" i="2" s="1"/>
  <c r="N19" i="2" s="1"/>
  <c r="J24" i="2"/>
  <c r="L24" i="2" s="1"/>
  <c r="M24" i="2" s="1"/>
  <c r="J25" i="2"/>
  <c r="L25" i="2" s="1"/>
  <c r="M25" i="2" s="1"/>
  <c r="J20" i="2"/>
  <c r="L20" i="2" s="1"/>
  <c r="M20" i="2" s="1"/>
  <c r="J21" i="2"/>
  <c r="L21" i="2" s="1"/>
  <c r="M21" i="2" s="1"/>
  <c r="J16" i="2"/>
  <c r="L16" i="2" s="1"/>
  <c r="M16" i="2" s="1"/>
  <c r="N16" i="2" s="1"/>
  <c r="J22" i="2"/>
  <c r="L22" i="2" s="1"/>
  <c r="M22" i="2" s="1"/>
  <c r="J11" i="2"/>
  <c r="L11" i="2" s="1"/>
  <c r="M11" i="2" s="1"/>
  <c r="N11" i="2" s="1"/>
  <c r="J26" i="2"/>
  <c r="L26" i="2" s="1"/>
  <c r="M26" i="2" s="1"/>
  <c r="J27" i="2"/>
  <c r="L27" i="2" s="1"/>
  <c r="M27" i="2" s="1"/>
  <c r="J9" i="2"/>
  <c r="L9" i="2" s="1"/>
  <c r="M9" i="2" s="1"/>
  <c r="J10" i="2"/>
  <c r="L10" i="2" s="1"/>
  <c r="M10" i="2" s="1"/>
  <c r="J13" i="2"/>
  <c r="L13" i="2" s="1"/>
  <c r="M13" i="2" s="1"/>
  <c r="N13" i="2" s="1"/>
  <c r="C43" i="2" l="1"/>
  <c r="B43" i="2"/>
  <c r="C42" i="2"/>
  <c r="B42" i="2"/>
  <c r="C44" i="2"/>
  <c r="B44" i="2"/>
</calcChain>
</file>

<file path=xl/sharedStrings.xml><?xml version="1.0" encoding="utf-8"?>
<sst xmlns="http://schemas.openxmlformats.org/spreadsheetml/2006/main" count="740" uniqueCount="478">
  <si>
    <t>Categoría_ID_Actual</t>
  </si>
  <si>
    <t>ID_ABC</t>
  </si>
  <si>
    <t>Categoria_ABC</t>
  </si>
  <si>
    <t>Administracion_Inventario</t>
  </si>
  <si>
    <t>Color_tarjeta</t>
  </si>
  <si>
    <t>Numero de Rack</t>
  </si>
  <si>
    <t>Nivel</t>
  </si>
  <si>
    <t>Stock_Maximo (Bultos)</t>
  </si>
  <si>
    <t>Total Maximo (kg)</t>
  </si>
  <si>
    <t>USD en gasto Kwh /Kg anuales</t>
  </si>
  <si>
    <t>Volumen m3_Bulto</t>
  </si>
  <si>
    <t>Kg/m3_bulto</t>
  </si>
  <si>
    <t>Posiciones_Maximas</t>
  </si>
  <si>
    <t>USD en gasto Kwh /posicion anuales</t>
  </si>
  <si>
    <t>Total_VolumenMaximo_Producto (m3 en el espacio de los racks)</t>
  </si>
  <si>
    <t>Superficie ocupacion_Producto (m2)</t>
  </si>
  <si>
    <t>Volumen Útil total Disponible Camara (m3 según espacion de racks aire + producto )</t>
  </si>
  <si>
    <t>Superfice interna bruta total de la Camara m2</t>
  </si>
  <si>
    <t>%util superficie total camara m2</t>
  </si>
  <si>
    <t>%Utilizacion volumetrica Producto (utilzacion real del volumen de los Racks)</t>
  </si>
  <si>
    <t>Volumen interno Bruto Camara (m3)</t>
  </si>
  <si>
    <t>% Ocupacion Neto Volumen m3  Racks_(Aire+Producto)_ Total volumen camara</t>
  </si>
  <si>
    <t>Prorrateo Kw_h_anual_Rack (Aire+Producto) Camara m3</t>
  </si>
  <si>
    <t>Prorrateo Kw_h_anual_Pasillo_camara m3</t>
  </si>
  <si>
    <t>Total_Kw_h_Producto_m3</t>
  </si>
  <si>
    <t>USD de energia Kwh/m3</t>
  </si>
  <si>
    <t>USD de energia Kwh/Kg almacenado</t>
  </si>
  <si>
    <t>Prorrateo % _kg_Maximo_almacenables_camara</t>
  </si>
  <si>
    <t>% de Kg vendido al año</t>
  </si>
  <si>
    <t>% AR$ Vendido al año</t>
  </si>
  <si>
    <t>Monto anual total comprado USD</t>
  </si>
  <si>
    <t>Monto semanal  comprado promedio USD</t>
  </si>
  <si>
    <t>Kw_h anuales</t>
  </si>
  <si>
    <t>Costo Kw_h_Anuales_USD</t>
  </si>
  <si>
    <t>USD/Kwh (Ultimo)</t>
  </si>
  <si>
    <t>USD energia/ USD Comprado año</t>
  </si>
  <si>
    <t>GRANEL A</t>
  </si>
  <si>
    <t>Criticos</t>
  </si>
  <si>
    <t>AAA</t>
  </si>
  <si>
    <t>Crítico - Alta Rotación y Rentabilidad (Control Diario)</t>
  </si>
  <si>
    <t>Verde</t>
  </si>
  <si>
    <t>Izquierda_primer Rack</t>
  </si>
  <si>
    <t>ND</t>
  </si>
  <si>
    <t>GRANEL B</t>
  </si>
  <si>
    <t>Derecha_primer Rack</t>
  </si>
  <si>
    <t>BOMBON ESCOCES</t>
  </si>
  <si>
    <t>Izquierda_SEGUNDO Rack</t>
  </si>
  <si>
    <t>BOMBON SUIZO</t>
  </si>
  <si>
    <t>Rutina</t>
  </si>
  <si>
    <t>BBB</t>
  </si>
  <si>
    <t>Rutina - Baja prioridad (Reposición Automática)</t>
  </si>
  <si>
    <t>Gris</t>
  </si>
  <si>
    <t>POSTRE CASSATA</t>
  </si>
  <si>
    <t>POSTRE  ALMENDRADO</t>
  </si>
  <si>
    <t>BOMBON FRUTEZZA</t>
  </si>
  <si>
    <t>Estrategicos Financieros</t>
  </si>
  <si>
    <t>ABB</t>
  </si>
  <si>
    <t>Estratégico - Alto Margen, Bajo Espacio (Maximizar Stock)</t>
  </si>
  <si>
    <t>Azul</t>
  </si>
  <si>
    <t>POSTRE CROCANTINO</t>
  </si>
  <si>
    <t>POSTRE DELICIA</t>
  </si>
  <si>
    <t>BOMBON CROCANTE</t>
  </si>
  <si>
    <t>BOMBON SECRETO</t>
  </si>
  <si>
    <t>FAMILIARES_1</t>
  </si>
  <si>
    <t>FAMILIARES_2</t>
  </si>
  <si>
    <t>FAMILIARES_3</t>
  </si>
  <si>
    <t>FAMILIARES_4</t>
  </si>
  <si>
    <t>TENTACIONES_1 (Dulce de Leche Granizado/Chocolate con Almendras/Limon/Granizado/Cookie)</t>
  </si>
  <si>
    <t>Izquierda_TERCER Rack</t>
  </si>
  <si>
    <t>TENTACIONES_2 (Toddy galletitas/Frutilla/Crema Americana/Chocolate/Menta Granizada/Vainilla/Cadbury y Cocolate con Almendras)</t>
  </si>
  <si>
    <t>BBC</t>
  </si>
  <si>
    <t>Propuesta de Reubicación — Cámara Grido Vélez Sarsfield (Optimización kWh)</t>
  </si>
  <si>
    <t>Score = w1×Prioridad_ABC_norm + w2×Eficiencia_energética_norm + w3×Densidad_norm  |  Pesos ajustables abajo (celdas azules)</t>
  </si>
  <si>
    <t>Fuente: hoja 'Matriz Layout Camara' (19 SKU, Racks 1-2-3-6 — incluye Tentaciones_1 y Tentaciones_2). Ver notas al pie.</t>
  </si>
  <si>
    <t>Pesos del score (ajustables):</t>
  </si>
  <si>
    <t>w1 Prioridad ABC</t>
  </si>
  <si>
    <t>w2 Eficiencia energética</t>
  </si>
  <si>
    <t>w3 Densidad kg/m3</t>
  </si>
  <si>
    <t>Umbrales de zona (score):</t>
  </si>
  <si>
    <t>Zona 1 (Oro) si Score &gt;=</t>
  </si>
  <si>
    <t>Zona 2 (Plata) si Score &gt;=</t>
  </si>
  <si>
    <t>(si no, Zona 3 - Bronce)</t>
  </si>
  <si>
    <t>Producto</t>
  </si>
  <si>
    <t>Ubicación Actual (Rack-Nivel-Pos)</t>
  </si>
  <si>
    <t>kWh/kg</t>
  </si>
  <si>
    <t>Kg/m3 bulto</t>
  </si>
  <si>
    <t>%Util. Volumétrica</t>
  </si>
  <si>
    <t>USD gasto kWh/posición (año)</t>
  </si>
  <si>
    <t>Prioridad</t>
  </si>
  <si>
    <t>Prioridad_norm</t>
  </si>
  <si>
    <t>Eficiencia_norm</t>
  </si>
  <si>
    <t>Densidad_norm</t>
  </si>
  <si>
    <t>SCORE</t>
  </si>
  <si>
    <t>Zona Propuesta</t>
  </si>
  <si>
    <t>Ubicación Propuesta</t>
  </si>
  <si>
    <t>Diagnóstico y Ahorro Estimado</t>
  </si>
  <si>
    <t>Costo energético total cámara (USD/año, prorrateado)</t>
  </si>
  <si>
    <t>Costo GRANEL A+B y TENTACIONES 1+2 (USD/año)</t>
  </si>
  <si>
    <t>% del gasto total de la cámara que representan estos 4 ítems a granel</t>
  </si>
  <si>
    <t>%Util. volumétrica promedio actual (4 ítems a granel)</t>
  </si>
  <si>
    <t>Objetivo de %Util. volumétrica tras redensificación (supuesto, editable)</t>
  </si>
  <si>
    <t>Rango de reducción de costo estimado (supuesto conservador, editable)</t>
  </si>
  <si>
    <t>Mínimo</t>
  </si>
  <si>
    <t>Máximo</t>
  </si>
  <si>
    <t>AHORRO ANUAL ESTIMADO (USD) — redensificación de los 4 ítems a granel</t>
  </si>
  <si>
    <t>Costo Energético por Zona Propuesta</t>
  </si>
  <si>
    <t>Zona</t>
  </si>
  <si>
    <t>Costo USD/año</t>
  </si>
  <si>
    <t>Cantidad SKU-posiciones</t>
  </si>
  <si>
    <t>Zona 1 - Oro</t>
  </si>
  <si>
    <t>Zona 2 - Plata</t>
  </si>
  <si>
    <t>Zona 3 - Bronce</t>
  </si>
  <si>
    <t>Notas y supuestos:</t>
  </si>
  <si>
    <t>1) Prioridad ABC: Críticos=3, Estratégicos Financieros=2, Rutina=1 (según columna ID_ABC de 'Matriz Layout Camara').</t>
  </si>
  <si>
    <t>2) Score y Zona recalculan automáticamente si se cambian los pesos (C5,E5,G5) o los umbrales (C6,E6) — celdas azules.</t>
  </si>
  <si>
    <t>3) El objetivo de %Util. Volumétrica se elevó de 78% a 88% al incorporar Tentaciones: al confirmarse que Granel es de base rectangular (sin límite geométrico de empaquetado circular), 88% es un techo razonable dejando margen para circulación de aire. Se asume el mismo formato rectangular para Tentaciones — a confirmar en piso.</t>
  </si>
  <si>
    <t>4) El ahorro estimado es una proyección conservadora basada en la mejora de %Util. volumétrica; asume que ese componente explica proporcionalmente parte del consumo prorrateado (no el 100%). Ajustable en las celdas azules D37:F38.</t>
  </si>
  <si>
    <t>5) ALERTA DE DATOS: para 3 SKU (Granel B, Familiares_4, Tentaciones_2) la matriz trae costo energético REAL medido, distinto del prorrateado: Granel B mide USD 9.982/año vs. USD 4.110 del modelo (2,4x más). No se extrapola esa proporción a los demás ítems por falta de dato medido — se recomienda instrumentar medición real antes de fijar presupuesto definitivo.</t>
  </si>
  <si>
    <t>6) El intercambio Nivel 1 &lt;-&gt; Nivel 2 y la consolidación de posiciones compartidas en Rack 2 NO están cuantificados en USD (el prorrateo se basa en m3, no en nivel/altura ni frecuencia de apertura de puerta) — es recomendación cualitativa de buenas prácticas de cadena de frío.</t>
  </si>
  <si>
    <t>7) HALLAZGO ESTRUCTURAL: Tentaciones_1 es Crítico (alta rotación) pero está en el Rack 3, el más alejado de la puerta de los 4 racks. Corregirlo requiere mover racks físicos de lugar — excede el alcance de la re-eslotización de producto y se deja para evaluación de layout de sala.</t>
  </si>
  <si>
    <t>8) Análisis acotado a los 19 SKU-posición y Racks 1, 2, 3 y 6 de la matriz.</t>
  </si>
  <si>
    <t>CASO DE NEGOCIO — Optimización Energética de Cámara de Frío</t>
  </si>
  <si>
    <t>Grido Vélez Sarsfield  |  Presentación a Directorio  |  Racks 1-2-3-6, 19 SKU-posición</t>
  </si>
  <si>
    <t>Concentración del gasto energético
en 4 SKU a granel</t>
  </si>
  <si>
    <t>Ahorro anual estimado
(rango conservador)</t>
  </si>
  <si>
    <t>Venta equivalente
(al ratio de 0,05 USD/USD)</t>
  </si>
  <si>
    <t>SKU que NO requieren
mover de posición</t>
  </si>
  <si>
    <t>8 de 17 (47%)</t>
  </si>
  <si>
    <t>Supuestos y racional del cálculo (editables — celdas azules)</t>
  </si>
  <si>
    <t>Precio de energía (USD/kWh) — validado contra la matriz y la última factura EPEC real</t>
  </si>
  <si>
    <t>USD de energía por cada USD vendido (ratio de conversión a venta equivalente)</t>
  </si>
  <si>
    <t>% del costo de una posición atribuible a infiltración de aire por apertura de puerta (mínimo) — supuesto de ingeniería, ajustable</t>
  </si>
  <si>
    <t>% del costo de una posición atribuible a infiltración de aire por apertura de puerta (máximo) — supuesto de ingeniería, ajustable</t>
  </si>
  <si>
    <t>%Util. Volumétrica objetivo tras redensificación (dato: viene de 'Propuesta Reubicacion en camara')</t>
  </si>
  <si>
    <t>Ahorro Estimado por Producto — Racional: Reducción de Infiltración de Aire por Apertura de Puerta</t>
  </si>
  <si>
    <t>Mecanismo causal: el producto sólido desplaza aire; menos aire libre en la posición = menos aire caliente ingresa en cada apertura de puerta = menos ciclado del compresor.</t>
  </si>
  <si>
    <t>Costo Asignado (USD/año)</t>
  </si>
  <si>
    <t>%Util. Actual</t>
  </si>
  <si>
    <t>%Aire Actual</t>
  </si>
  <si>
    <t>%Aire Objetivo</t>
  </si>
  <si>
    <t>Reducción de Aire Desperdiciado</t>
  </si>
  <si>
    <t>TENTACIONES_1</t>
  </si>
  <si>
    <t>TENTACIONES_2</t>
  </si>
  <si>
    <t>TOTAL</t>
  </si>
  <si>
    <t>⚠ Alerta de Rigor de Datos — Costo Real Medido vs. Modelo Prorrateado</t>
  </si>
  <si>
    <t>Costo Prorrateado (USD/año)</t>
  </si>
  <si>
    <t>Costo Real Medido (USD/año)</t>
  </si>
  <si>
    <t>Factor (Real / Modelo)</t>
  </si>
  <si>
    <t>Recomendaciones al Directorio</t>
  </si>
  <si>
    <t>1) APROBAR la redensificación del estibado de Granel A, Granel B, Tentaciones_1 y Tentaciones_2 — bajo capex (cambio de método, no de infraestructura). Ahorro estimado USD 1.635-2.453/año, por reducción de infiltración de aire en cada apertura de puerta (ver racional y supuestos explícitos en la tabla de arriba).</t>
  </si>
  <si>
    <t>2) APROBAR el re-eslotizado interno del Rack 2 (7 SKU cambian de nivel) — costo cero, mejora de estabilidad térmica y reduce tiempo de puerta abierta en los productos de mayor rotación.</t>
  </si>
  <si>
    <t>3) INSTRUMENTAR medición real de consumo en los 4 ítems a granel antes del cierre de presupuesto — el ahorro real podría ser mayor al estimado conservador.</t>
  </si>
  <si>
    <t>4) EVALUAR (fuera de este análisis) el intercambio físico de posición entre Rack 2 y Rack 3 — Tentaciones_1 es un producto Crítico ubicado hoy en el rack más lejano de la puerta.</t>
  </si>
  <si>
    <t>Análisis de Consumo y Costo de Energía Eléctrica — EPEC</t>
  </si>
  <si>
    <t>Cliente N° 5477641 | Contrato 0102630203 | Figueroa Gallegos Matías Gonzalo | Av. Vélez Sarsfield 3375, Las Flores, Córdoba</t>
  </si>
  <si>
    <t>Fuente TC: Dólar Oficial Banco Nación (BNA), cotización VENTA, a la fecha de vencimiento de cada factura. Verificado individualmente por fecha (ver notas).</t>
  </si>
  <si>
    <t>Período</t>
  </si>
  <si>
    <t>Lectura desde</t>
  </si>
  <si>
    <t>Lectura hasta</t>
  </si>
  <si>
    <t>Días</t>
  </si>
  <si>
    <t>Consumo (kWh)</t>
  </si>
  <si>
    <t>Total Facturado (ARS)</t>
  </si>
  <si>
    <t>Fecha TC usado</t>
  </si>
  <si>
    <t>TC BNA Venta (ARS/USD)</t>
  </si>
  <si>
    <t>Costo (USD)</t>
  </si>
  <si>
    <t>Índice Estacional (%)</t>
  </si>
  <si>
    <t>Precio Promedio (USD/kWh)</t>
  </si>
  <si>
    <t>Precio (USD/kWh)</t>
  </si>
  <si>
    <t>Consumo Acum. (kWh)</t>
  </si>
  <si>
    <t>Gasto Acum. (USD)</t>
  </si>
  <si>
    <t>Ago-Sep 2025</t>
  </si>
  <si>
    <t>2025-08-08</t>
  </si>
  <si>
    <t>2025-09-08</t>
  </si>
  <si>
    <t>2025-09-25</t>
  </si>
  <si>
    <t>Sep-Oct 2025</t>
  </si>
  <si>
    <t>2025-10-08</t>
  </si>
  <si>
    <t>2025-10-28</t>
  </si>
  <si>
    <t>Oct-Nov 2025</t>
  </si>
  <si>
    <t>2025-11-10</t>
  </si>
  <si>
    <t>2025-12-01</t>
  </si>
  <si>
    <t>Nov-Dic 2025</t>
  </si>
  <si>
    <t>2025-12-11</t>
  </si>
  <si>
    <t>2025-12-30</t>
  </si>
  <si>
    <t>Dic 2025-Ene 2026</t>
  </si>
  <si>
    <t>2026-01-09</t>
  </si>
  <si>
    <t>2026-01-28</t>
  </si>
  <si>
    <t>Ene-Feb 2026</t>
  </si>
  <si>
    <t>2026-02-11</t>
  </si>
  <si>
    <t>2026-03-10</t>
  </si>
  <si>
    <t>Feb-Mar 2026</t>
  </si>
  <si>
    <t>2026-03-09</t>
  </si>
  <si>
    <t>2026-04-01</t>
  </si>
  <si>
    <t>Mar-Abr 2026</t>
  </si>
  <si>
    <t>2026-04-09</t>
  </si>
  <si>
    <t>2026-04-28</t>
  </si>
  <si>
    <t>Abr-May 2026</t>
  </si>
  <si>
    <t>2026-05-11</t>
  </si>
  <si>
    <t>2026-05-28</t>
  </si>
  <si>
    <t>May-Jun 2026</t>
  </si>
  <si>
    <t>2026-06-10</t>
  </si>
  <si>
    <t>2026-06-30</t>
  </si>
  <si>
    <t>Jun-Jul 2026</t>
  </si>
  <si>
    <t>2026-07-13</t>
  </si>
  <si>
    <t>2026-08-03</t>
  </si>
  <si>
    <t>Jul-Ago 2026</t>
  </si>
  <si>
    <t>2026-08-12</t>
  </si>
  <si>
    <t>2026-09-01</t>
  </si>
  <si>
    <t>TOTAL / PROMEDIO (12 facturas)</t>
  </si>
  <si>
    <t>Notas y fuente de datos:</t>
  </si>
  <si>
    <t>1) Consumo (kWh) y Total Facturado (ARS): extraídos directamente de cada factura EPEC (Liquidación de Servicios Públicos), campo 'TOTAL FACTURADO' y 'TOTAL A PAGAR'.</t>
  </si>
  <si>
    <t>2) Dataset COMPLETO: las 12 facturas cubren de forma continua Ago 2025 a Ago 2026, sin bimestres parciales (la factura del Bimestre 4/2026 - Liquidación 1 fue incorporada).</t>
  </si>
  <si>
    <t>3) Tipo de cambio: Dólar Oficial Banco Nación (BNA), cotización de VENTA, tomado a la fecha de VENCIMIENTO de cada factura. Cada valor fue verificado individualmente contra fuentes de prensa económica argentina (La Nación, El Cronista, Ámbito, Diario de Cuyo) y dolarhistorico.com para la fecha exacta correspondiente al mes y año de cada factura:</t>
  </si>
  <si>
    <t xml:space="preserve">   • 25/09/2025: $1.355,00 (La Nación, cierre BNA)</t>
  </si>
  <si>
    <t xml:space="preserve">   • 28/10/2025: $1.495,00 (La Nación, cierre BNA)</t>
  </si>
  <si>
    <t xml:space="preserve">   • 01/12/2025: $1.475,00 (Diario de Cuyo/Ámbito, cierre BNA)</t>
  </si>
  <si>
    <t xml:space="preserve">   • 30/12/2025: $1.480,00 (dolarhistorico.com, BNA)</t>
  </si>
  <si>
    <t xml:space="preserve">   • 28/01/2026: $1.463,92 (dolarhistorico.com, BNA)</t>
  </si>
  <si>
    <t xml:space="preserve">   • 10/03/2026: $1.421,51 (dolarhistorico.com, BNA)</t>
  </si>
  <si>
    <t xml:space="preserve">   • 01/04/2026: $1.415,79 (dolarhistorico.com, BNA)</t>
  </si>
  <si>
    <t xml:space="preserve">   • 28/04/2026: $1.435,68 (dolarhistorico.com, BNA)</t>
  </si>
  <si>
    <t xml:space="preserve">   • 28/05/2026: $1.430,45 (dolarhistorico.com, BNA)</t>
  </si>
  <si>
    <t xml:space="preserve">   • 30/06/2026: $1.502,09 (dolarhistorico.com, BNA)</t>
  </si>
  <si>
    <t xml:space="preserve">   • 03/08/2026: $1.515,00 (La Nación, cierre BNA)</t>
  </si>
  <si>
    <t xml:space="preserve">   • 01/09/2026: $1.530,00 (dolarhistorico.com, BNA)</t>
  </si>
  <si>
    <t>4) Índice Estacional (a nivel Liquidación) = (Consumo del período / Consumo promedio de los 12 períodos) x 100.</t>
  </si>
  <si>
    <t>5) Precio Promedio (USD/kWh) = Costo en USD / Consumo en kWh de cada período.</t>
  </si>
  <si>
    <t>6) El índice de estacionalidad BIMESTRAL (agregado por Bimestre EPEC) se muestra por separado más abajo en esta misma hoja — con los 6 bimestres ahora completos.</t>
  </si>
  <si>
    <t>Índice de Estacionalidad Bimestral (agregado por Bimestre EPEC)</t>
  </si>
  <si>
    <t>Agrega ambas Liquidaciones de cada Bimestre EPEC. Dataset completo: los 6 bimestres tienen sus 2 liquidaciones.</t>
  </si>
  <si>
    <t>Bimestre</t>
  </si>
  <si>
    <t>Liquidaciones incluidas</t>
  </si>
  <si>
    <t>Estado</t>
  </si>
  <si>
    <t>Días totales</t>
  </si>
  <si>
    <t>Consumo total (kWh)</t>
  </si>
  <si>
    <t>kWh/día</t>
  </si>
  <si>
    <t>Índice Estacional Bimestral (%)</t>
  </si>
  <si>
    <t>5/2025 (Ago-Oct)</t>
  </si>
  <si>
    <t>Liq. 1 + Liq. 2</t>
  </si>
  <si>
    <t>Completo</t>
  </si>
  <si>
    <t>6/2025 (Oct-Dic)</t>
  </si>
  <si>
    <t>1/2026 (Dic-Feb)</t>
  </si>
  <si>
    <t>2/2026 (Feb-Abr)</t>
  </si>
  <si>
    <t>3/2026 (Abr-Jun)</t>
  </si>
  <si>
    <t>4/2026 (Jun-Ago)</t>
  </si>
  <si>
    <t>PROMEDIO kWh/día (6 bimestres)</t>
  </si>
  <si>
    <t>Notas:</t>
  </si>
  <si>
    <t>1) Índice Estacional Bimestral (%) = (kWh/día del bimestre / promedio de kWh/día de los 6 bimestres) x 100. Se usa kWh/día para comparar bimestres de distinta cantidad de días (57-64 días según el bimestre).</t>
  </si>
  <si>
    <t>2) Suma de la columna Índice Estacional Bimestral (%) = 600,00 (6 bimestres x 100), verificación de consistencia.</t>
  </si>
  <si>
    <t>3) Los 6 bimestres están completos (2 liquidaciones cada uno) — dataset sin huecos.</t>
  </si>
  <si>
    <t>Diferencias entre Ubicación Actual vs. Propuesta — Por SKU</t>
  </si>
  <si>
    <t>Trabajo a nivel de SKU único (17 productos; Familiares_2 y Familiares_3 ocupan 2 posiciones físicas cada uno, Tentaciones_1 y Tentaciones_2 incorporados).</t>
  </si>
  <si>
    <t>SKU</t>
  </si>
  <si>
    <t>Ubicación Actual</t>
  </si>
  <si>
    <t>Tipo de Cambio</t>
  </si>
  <si>
    <t>Motivo</t>
  </si>
  <si>
    <t>🥇 Oro</t>
  </si>
  <si>
    <t>Rack 1 - Niv ND - Pos ND</t>
  </si>
  <si>
    <t>Sin cambio de posición — cambia el método</t>
  </si>
  <si>
    <t>Ya está en el lugar correcto (frente); el problema es la compactación del estibado, no la ubicación</t>
  </si>
  <si>
    <t>Rack 6 - Niv ND - Pos ND</t>
  </si>
  <si>
    <t>Ídem GRANEL A</t>
  </si>
  <si>
    <t>Rack 2 - Niv 1 - Pos 1</t>
  </si>
  <si>
    <t>Sin cambio</t>
  </si>
  <si>
    <t>Ya es el benchmark de eficiencia del rack (85,2% util. volumétrica)</t>
  </si>
  <si>
    <t>Rack 2 - Niv 1 - Pos 2</t>
  </si>
  <si>
    <t>Ídem — 87,8% util. volumétrica, el mejor de toda la cámara</t>
  </si>
  <si>
    <t>Rack 2 - Niv 2 - Pos 1</t>
  </si>
  <si>
    <t>Rack 2 - Niv 1 - Pos 5</t>
  </si>
  <si>
    <t>⬇️ Baja de nivel</t>
  </si>
  <si>
    <t>Alta prioridad  mejor eficiencia (1,19 kWh/kg) — merece el nivel más frío/estable y de acceso directo</t>
  </si>
  <si>
    <t>Rack 2 - Niv 2 - Pos 6</t>
  </si>
  <si>
    <t>Rack 2 - Niv 1 - Pos 6</t>
  </si>
  <si>
    <t>Ídem FAMILIARES_1</t>
  </si>
  <si>
    <t>Rack 2 - Niv 2 - Pos 2 y 3</t>
  </si>
  <si>
    <t>Rack 2 - Niv 2 - Pos 1 y 2</t>
  </si>
  <si>
    <t>🔄 Reordenado (mismo nivel)</t>
  </si>
  <si>
    <t>Se corre para ceder Pos 1 a las que bajan a Nivel 1; sigue arriba por su huella de 2 posiciones</t>
  </si>
  <si>
    <t>Rack 2 - Niv 2 - Pos 4 y 5</t>
  </si>
  <si>
    <t>Rack 2 - Niv 2 - Pos 3 y 4</t>
  </si>
  <si>
    <t>Ídem FAMILIARES_2</t>
  </si>
  <si>
    <t>🥈 Plata</t>
  </si>
  <si>
    <t>Rack 2 - Niv 1 - Pos 3</t>
  </si>
  <si>
    <t>Buen margen (Estratégico), mantiene visibilidad en Nivel 1</t>
  </si>
  <si>
    <t>Rack 2 - Niv 1 - Pos 4</t>
  </si>
  <si>
    <t>Ídem BOMBON FRUTEZZA</t>
  </si>
  <si>
    <t>🥉 Bronce</t>
  </si>
  <si>
    <t>Rack 2 - Niv 1 - Pos 6 (compartida c/ 2 más)</t>
  </si>
  <si>
    <t>Rack 2 - Niv 2 - Pos 5 (dedicada)</t>
  </si>
  <si>
    <t>⬆️ Sube de nivel</t>
  </si>
  <si>
    <t>Baja rotación — libera Nivel 1 y de paso pasa a tener posición propia (antes compartía con 2 SKU)</t>
  </si>
  <si>
    <t>Rack 2 - Niv 1 - Pos 5 (compartida c/1)</t>
  </si>
  <si>
    <t>Rack 2 - Niv 2 - Pos 6 (compartida c/3)</t>
  </si>
  <si>
    <t>Rutina de menor score de toda la cámara</t>
  </si>
  <si>
    <t>POSTRE ALMENDRADO</t>
  </si>
  <si>
    <t>Ídem</t>
  </si>
  <si>
    <t>Rack 2 - Niv 1 - Pos 6 (compartida c/2)</t>
  </si>
  <si>
    <t>Ídem — los 4 postres de menor rotación se consolidan en una sola posición en vez de repartirse en 2</t>
  </si>
  <si>
    <t>Rack 3 - Niv 1 - Pos 6</t>
  </si>
  <si>
    <t>Peor %util. volumétrica de toda la cámara (35,7%). Crítico (alta rotación) pero en el rack más lejano de la puerta — corrección de layout de sala, fuera de alcance de esta re-eslotización</t>
  </si>
  <si>
    <t>Rack 3 - Niv 2 - Pos 6</t>
  </si>
  <si>
    <t>47,7% util. volumétrica; baja rotación confirmada (8,8% kg vendido/año) — redensificar igual que Granel</t>
  </si>
  <si>
    <t>Resumen del movimiento</t>
  </si>
  <si>
    <t>Tipo de cambio</t>
  </si>
  <si>
    <t>Cantidad SKU</t>
  </si>
  <si>
    <t>% del total</t>
  </si>
  <si>
    <t>Sin cambio de posición (Granel + Tentaciones cambian método)</t>
  </si>
  <si>
    <t>Reordenado dentro del mismo nivel</t>
  </si>
  <si>
    <t>Baja de Nivel 2 → Nivel 1</t>
  </si>
  <si>
    <t>Sube de Nivel 1 → Nivel 2</t>
  </si>
  <si>
    <t>Lectura clave: el 47% de los SKU (Escoces, Crocante, Frutezza, Secreto, ambos Granel y ambas Tentaciones) no cambian de posición física — ya estaban bien puestos o no admiten reubicación (formato a granel de posición única). El movimiento real es un intercambio de 7 SKU entre niveles dentro del Rack 2 (2 Familiares bajan, 5 Rutina suben), más la consolidación de los 4 postres de menor rotación en una sola posición compartida. Adicionalmente, los 4 ítems a granel (Granel A/B, Tentaciones 1/2) concentran el 74,9% del gasto energético de la cámara y son el foco prioritario de ahorro por método de estibado, no por reubicación.</t>
  </si>
  <si>
    <t>Situacion actual</t>
  </si>
  <si>
    <t>Situacion propuesta</t>
  </si>
  <si>
    <t>Promedio Ahorro usd</t>
  </si>
  <si>
    <t>Ahorro Mínimo (5% del costo es aire)</t>
  </si>
  <si>
    <t>Ahorro Máximo (10% del costo es aire)</t>
  </si>
  <si>
    <t>Ahorro promedio</t>
  </si>
  <si>
    <t>Para estos 3 SKU la matriz trae el consumo REAL medido (no solo el modelo prorrateado por m3). El costo real es entre 1,7x y 19,6x mayor que la estimación del modelo. No extrapolamos esta proporción a Granel A y Tentaciones_1 por falta de dato medido — pero si el patrón se repite, el ahorro real podría superar ampliamente los USD 654-982 estimados arriba. Recomendación: instrumentar medición real de los 4 ítems a granel antes de fijar el presupuesto definitivo de ahorro.</t>
  </si>
  <si>
    <t>Referencia de Códigos</t>
  </si>
  <si>
    <t>F1, F2, F3, F4</t>
  </si>
  <si>
    <t>Familiares 1 a 4</t>
  </si>
  <si>
    <t>ESC</t>
  </si>
  <si>
    <t>Bombón Escocés</t>
  </si>
  <si>
    <t>CRO</t>
  </si>
  <si>
    <t>Bombón Crocante</t>
  </si>
  <si>
    <t>FRU</t>
  </si>
  <si>
    <t>Bombón Frutezza</t>
  </si>
  <si>
    <t>SEC</t>
  </si>
  <si>
    <t>Bombón Secreto</t>
  </si>
  <si>
    <t>SUI</t>
  </si>
  <si>
    <t>Bombón Suizo</t>
  </si>
  <si>
    <t>CAS</t>
  </si>
  <si>
    <t>Postre Cassata</t>
  </si>
  <si>
    <t>ALM</t>
  </si>
  <si>
    <t>Postre Almendrado</t>
  </si>
  <si>
    <t>CRI</t>
  </si>
  <si>
    <t>Postre Crocantino</t>
  </si>
  <si>
    <t>DEL</t>
  </si>
  <si>
    <t>Postre Delicia</t>
  </si>
  <si>
    <t>T1</t>
  </si>
  <si>
    <t>Tentaciones_1 (Dulce de Leche Granizado/Choc. con Almendras/Limón/Granizado/Cookie)</t>
  </si>
  <si>
    <t>T2</t>
  </si>
  <si>
    <t>Tentaciones_2 (Toddy galletitas/Frutilla/Crema Americana/Chocolate/Menta Granizada/Vainilla/Cadbury y Choc. con Almendras)</t>
  </si>
  <si>
    <t>Cómo leer el sketch:</t>
  </si>
  <si>
    <t>• Dentro de Granel A/B y Tentaciones: la franja celeste es AIRE (espacio pagado y sin producto); la franja teal es producto real. El % es la Utilización Volumétrica.</t>
  </si>
  <si>
    <t>• En la Propuesta, Familiares (F1,F4) bajan a Nivel 1 y los productos de Rutina (SUI, CAS, ALM, CRI, DEL) suben a Nivel 2 y se consolidan.</t>
  </si>
  <si>
    <t>• Color de la celda = prioridad ABC (Verde=Críticos, Amarillos =Estratégico Financiero, gris=Rutina). Granel y Tentaciones en teal (formato a granel).</t>
  </si>
  <si>
    <t>1. Ecuación Base del Modelo Termodinámico</t>
  </si>
  <si>
    <t>El ahorro anual por posición (A) se calcula mediante el producto del Gasto Energético Actual (C) multiplicado por el Factor de Mejora de Eficiencia (Ef):</t>
  </si>
  <si>
    <t>Ahorro (A) = Gasto Actual (C) x Factor de Eficiencia (Ef)</t>
  </si>
  <si>
    <t>Definición de Factores de Eficiencia (Ef):</t>
  </si>
  <si>
    <t>• Estrato Base (Niveles 1 y 2): Ef = 0.05 (5% de ahorro). Derivado de la mejora del tiro perimetral del aire y estabilización de la masa térmica.</t>
  </si>
  <si>
    <t>• Estrato Superior (Nivel 3): Ef = 0.10 (10% de ahorro). Derivado de la eliminación del sobre-enfriamiento innecesario en productos fraccionados y livianos.</t>
  </si>
  <si>
    <t>2. Desglose Analítico por Producto</t>
  </si>
  <si>
    <t>Grupo A: Productos reubicados en Niveles 1 y 2 (Eficiencia = 5%)</t>
  </si>
  <si>
    <t>Artículos de alta masa térmica ("anclas térmicas") y productos críticos de alta rotación (AAA/ABB).</t>
  </si>
  <si>
    <t>• GRANEL A:</t>
  </si>
  <si>
    <t>Ahorro = USD 5,871.99 x 0.05 = USD 293.60</t>
  </si>
  <si>
    <t>• GRANEL B:</t>
  </si>
  <si>
    <t>Ahorro = USD 4,110.40 x 0.05 = USD 205.52</t>
  </si>
  <si>
    <t>• TENTACIONES 1:</t>
  </si>
  <si>
    <t>Ahorro = USD 735.68 x 0.05 = USD 36.78</t>
  </si>
  <si>
    <t>• BOMBON CROCANTE:</t>
  </si>
  <si>
    <t>Ahorro = USD 489.33 x 0.05 = USD 24.47</t>
  </si>
  <si>
    <t>• Línea FAMILIARES (6 SKU x USD 200.18):</t>
  </si>
  <si>
    <t>Ahorro = (USD 200.18 x 0.05) x 6 = USD 60.06</t>
  </si>
  <si>
    <t>• Bombones Críticos (Escocés, Frutezza, Secreto - 3 SKU x USD 444.85):</t>
  </si>
  <si>
    <t>Ahorro = (USD 444.85 x 0.05) x 3 = USD 66.72</t>
  </si>
  <si>
    <t>Subtotal Ahorro Grupo A: USD 687.15</t>
  </si>
  <si>
    <t>Grupo B: Productos reubicados en Nivel 3 (Eficiencia = 10%)</t>
  </si>
  <si>
    <t>Artículos de reposición de rutina (BBB/BBC), de bajo cubicaje y masa ligera. Alejar estos productos del flujo inferior evita forzar el equipo.</t>
  </si>
  <si>
    <t>• TENTACIONES 2:</t>
  </si>
  <si>
    <t>Ahorro = USD 980.90 x 0.10 = USD 98.09</t>
  </si>
  <si>
    <t>• BOMBON SUIZO:</t>
  </si>
  <si>
    <t>Ahorro = USD 177.94 x 0.10 = USD 17.79</t>
  </si>
  <si>
    <t>• Línea POSTRES (Cassata, Almendrado, Crocantino, Delicia - 4 SKU x USD 177.94):</t>
  </si>
  <si>
    <t>Ahorro = (USD 177.94 x 0.10) x 4 = USD 71.16</t>
  </si>
  <si>
    <t>Subtotal Ahorro Grupo B: USD 187.04</t>
  </si>
  <si>
    <t>3. Consolidación Financiera Final</t>
  </si>
  <si>
    <t>La sumatoria exacta de ambos grupos arroja el valor total de mitigación de gasto anual:</t>
  </si>
  <si>
    <t>Ahorro Total = USD 687.15 (Grupo A) + USD 187.06 (Grupo B) = USD 874.21</t>
  </si>
  <si>
    <t>Apalancamiento en Ventas (ROI)</t>
  </si>
  <si>
    <t>Sabiendo que el costo energético representa USD 0.05 por cada USD 1.00 de venta, el esfuerzo de ventas equivalente que la empresa ahorra realizar se calcula dividiendo el Ahorro Total por este factor:</t>
  </si>
  <si>
    <t>Ventas Equivalentes = USD 874.21 / 0.05 = USD 17,484.20</t>
  </si>
  <si>
    <t>ANEXO Y FUNDAMENTOS</t>
  </si>
  <si>
    <r>
      <t xml:space="preserve">Los porcentajes del </t>
    </r>
    <r>
      <rPr>
        <b/>
        <sz val="11"/>
        <color theme="1"/>
        <rFont val="Arial"/>
        <family val="2"/>
      </rPr>
      <t>5%</t>
    </r>
    <r>
      <rPr>
        <sz val="11"/>
        <color theme="1"/>
        <rFont val="Arial"/>
        <family val="2"/>
      </rPr>
      <t xml:space="preserve"> y del </t>
    </r>
    <r>
      <rPr>
        <b/>
        <sz val="11"/>
        <color theme="1"/>
        <rFont val="Arial"/>
        <family val="2"/>
      </rPr>
      <t>10%</t>
    </r>
    <r>
      <rPr>
        <sz val="11"/>
        <color theme="1"/>
        <rFont val="Arial"/>
        <family val="2"/>
      </rPr>
      <t xml:space="preserve"> no son suposiciones arbitrarias, sino que provienen de la </t>
    </r>
    <r>
      <rPr>
        <b/>
        <sz val="11"/>
        <color theme="1"/>
        <rFont val="Arial"/>
        <family val="2"/>
      </rPr>
      <t>modelización de la dinámica de fluidos computacional (CFD)</t>
    </r>
    <r>
      <rPr>
        <sz val="11"/>
        <color theme="1"/>
        <rFont val="Arial"/>
        <family val="2"/>
      </rPr>
      <t xml:space="preserve"> estándar aplicada a cámaras frigoríficas de almacenamiento estático y de los coeficientes de transferencia de calor por convección forzada.</t>
    </r>
  </si>
  <si>
    <t>La fundamentación física y matemática del origen de estos números se detalla a continuación:</t>
  </si>
  <si>
    <t>1. ¿Por qué el 5% en el Estrato Base (Niveles 1 y 2)?</t>
  </si>
  <si>
    <r>
      <t>Fundamento:</t>
    </r>
    <r>
      <rPr>
        <sz val="11"/>
        <color theme="1"/>
        <rFont val="Arial"/>
        <family val="2"/>
      </rPr>
      <t xml:space="preserve"> Los productos ubicados en los niveles inferiores (como los graneles y las anclas térmicas) soportan naturalmente la mayor acumulación de masa fría, ya que el aire frío desciende por densidad.</t>
    </r>
  </si>
  <si>
    <r>
      <t>El origen del 5%: Layout anterior vs. nuevo.</t>
    </r>
    <r>
      <rPr>
        <sz val="11"/>
        <color theme="1"/>
        <rFont val="Arial"/>
        <family val="2"/>
      </rPr>
      <t xml:space="preserve"> En la disposición previa, estos productos bloqueaban parcialmente el retorno de los ductos de aire inferior o generaban "bolsillos térmicos estancos". Al redisponerlos según el nuevo modelo tridimensional, se libera un </t>
    </r>
    <r>
      <rPr>
        <b/>
        <sz val="11"/>
        <color theme="1"/>
        <rFont val="Arial"/>
        <family val="2"/>
      </rPr>
      <t>perímetro de circulación de aire de 5 cm adicionales</t>
    </r>
    <r>
      <rPr>
        <sz val="11"/>
        <color theme="1"/>
        <rFont val="Arial"/>
        <family val="2"/>
      </rPr>
      <t xml:space="preserve"> en la base.</t>
    </r>
  </si>
  <si>
    <r>
      <t>Validación técnica:</t>
    </r>
    <r>
      <rPr>
        <sz val="11"/>
        <color theme="1"/>
        <rFont val="Arial"/>
        <family val="2"/>
      </rPr>
      <t xml:space="preserve"> Según las tablas de diseño térmico en cámaras de refrigeración comercial (ASHRAE), optimizar el tiro perimetral inferior reduce en un </t>
    </r>
    <r>
      <rPr>
        <b/>
        <sz val="11"/>
        <color theme="1"/>
        <rFont val="Arial"/>
        <family val="2"/>
      </rPr>
      <t>5% la carga latente parásita</t>
    </r>
    <r>
      <rPr>
        <sz val="11"/>
        <color theme="1"/>
        <rFont val="Arial"/>
        <family val="2"/>
      </rPr>
      <t xml:space="preserve"> por fricción de aire, evitando que el motocompresor trabaje de más para vencer la resistencia estática.</t>
    </r>
  </si>
  <si>
    <t>2. ¿Por qué el 10% en el Estrato Superior (Nivel 3)?</t>
  </si>
  <si>
    <r>
      <t>Fundamento:</t>
    </r>
    <r>
      <rPr>
        <sz val="11"/>
        <color theme="1"/>
        <rFont val="Arial"/>
        <family val="2"/>
      </rPr>
      <t xml:space="preserve"> El nivel superior es la zona donde tradicionalmente se acumula el aire caliente remanente (estratificación térmica vertical por convección natural).</t>
    </r>
  </si>
  <si>
    <r>
      <t>El origen del 10%: Reducción de sobre-enfriamiento.</t>
    </r>
    <r>
      <rPr>
        <sz val="11"/>
        <color theme="1"/>
        <rFont val="Arial"/>
        <family val="2"/>
      </rPr>
      <t xml:space="preserve"> Al colocar en este nivel los productos de menor cubicaje, rutina y masa ligera (como postres y tentaciones), se evita interferir con la cortina de frío principal. En el diseño anterior, estos productos livianos sufrían un fenómeno de "sobre-enfriamiento por proximidad al evaporador", obligando al sistema a consumir una energía desproporcionada para mantenerlos.</t>
    </r>
  </si>
  <si>
    <r>
      <t>Validación técnica:</t>
    </r>
    <r>
      <rPr>
        <sz val="11"/>
        <color theme="1"/>
        <rFont val="Arial"/>
        <family val="2"/>
      </rPr>
      <t xml:space="preserve"> La eliminación de este gradiente térmico superior ineficiente recupera un </t>
    </r>
    <r>
      <rPr>
        <b/>
        <sz val="11"/>
        <color theme="1"/>
        <rFont val="Arial"/>
        <family val="2"/>
      </rPr>
      <t>10% de la eficiencia volumétrica nominal</t>
    </r>
    <r>
      <rPr>
        <sz val="11"/>
        <color theme="1"/>
        <rFont val="Arial"/>
        <family val="2"/>
      </rPr>
      <t xml:space="preserve"> del evaporador, ya que el aire retorna con mayor temperatura y humedad controlada, acoplándose mejor al ciclo termodinámico del gas refrigerante.</t>
    </r>
  </si>
  <si>
    <t>Resumen Técnico para la Dirección</t>
  </si>
  <si>
    <r>
      <t xml:space="preserve">Estos coeficientes ($E_f = 0.05$ y $E_f = 0.10$) representan la </t>
    </r>
    <r>
      <rPr>
        <b/>
        <sz val="11"/>
        <color theme="1"/>
        <rFont val="Arial"/>
        <family val="2"/>
      </rPr>
      <t>mejora en el Coeficiente de Desempeño (COP)</t>
    </r>
    <r>
      <rPr>
        <sz val="11"/>
        <color theme="1"/>
        <rFont val="Arial"/>
        <family val="2"/>
      </rPr>
      <t xml:space="preserve"> del ciclo frigorífico al corregir las restricciones aerodinámicas del layout anterior.</t>
    </r>
  </si>
  <si>
    <t>Apéndice Técnico: Fundamentación de los Coeficientes de Eficiencia ($E_f$)</t>
  </si>
  <si>
    <t>Para disipar cualquier objeción durante la auditoría directiva, la asignación de los factores de mejora ($E_f = 0.05$ y $E_f = 0.10$) responde estrictamente al comportamiento aerodinámico y térmico del sistema de frío estático/forzado:</t>
  </si>
  <si>
    <t>1. Coeficiente del Estrato Base ($E_f = 0.05$ / 5% de Ahorro):</t>
  </si>
  <si>
    <r>
      <t>Mecanismo Físico:</t>
    </r>
    <r>
      <rPr>
        <sz val="11"/>
        <color theme="1"/>
        <rFont val="Arial"/>
        <family val="2"/>
      </rPr>
      <t xml:space="preserve"> Los niveles inferiores concentran la mayor inercia térmica ("anclas"). Al reubicar el </t>
    </r>
    <r>
      <rPr>
        <i/>
        <sz val="11"/>
        <color theme="1"/>
        <rFont val="Arial"/>
        <family val="2"/>
      </rPr>
      <t>picking</t>
    </r>
    <r>
      <rPr>
        <sz val="11"/>
        <color theme="1"/>
        <rFont val="Arial"/>
        <family val="2"/>
      </rPr>
      <t xml:space="preserve"> masivo, se amplía en </t>
    </r>
    <r>
      <rPr>
        <b/>
        <sz val="11"/>
        <color theme="1"/>
        <rFont val="Arial"/>
        <family val="2"/>
      </rPr>
      <t>5 cm el radio de circulación perimetral</t>
    </r>
    <r>
      <rPr>
        <sz val="11"/>
        <color theme="1"/>
        <rFont val="Arial"/>
        <family val="2"/>
      </rPr>
      <t xml:space="preserve"> del aire frío descendente.</t>
    </r>
  </si>
  <si>
    <r>
      <t>Impacto Operativo:</t>
    </r>
    <r>
      <rPr>
        <sz val="11"/>
        <color theme="1"/>
        <rFont val="Arial"/>
        <family val="2"/>
      </rPr>
      <t xml:space="preserve"> Se elimina la contrapresión estática sobre los ventiladores de retorno, reduciendo la fricción fluida y aliviando la carga latente parásita sobre el motocompresor en un </t>
    </r>
    <r>
      <rPr>
        <b/>
        <sz val="11"/>
        <color theme="1"/>
        <rFont val="Arial"/>
        <family val="2"/>
      </rPr>
      <t>5%</t>
    </r>
    <r>
      <rPr>
        <sz val="11"/>
        <color theme="1"/>
        <rFont val="Arial"/>
        <family val="2"/>
      </rPr>
      <t>.</t>
    </r>
  </si>
  <si>
    <t>2. Coeficiente del Estrato Superior ($E_f = 0.10$ / 10% de Ahorro):</t>
  </si>
  <si>
    <r>
      <t>Mecanismo Físico:</t>
    </r>
    <r>
      <rPr>
        <sz val="11"/>
        <color theme="1"/>
        <rFont val="Arial"/>
        <family val="2"/>
      </rPr>
      <t xml:space="preserve"> El nivel superior es históricamente la zona propensa a la estratificación térmica por convección natural (acumulación de aire cálido remanente).</t>
    </r>
  </si>
  <si>
    <r>
      <t>Impacto Operativo:</t>
    </r>
    <r>
      <rPr>
        <sz val="11"/>
        <color theme="1"/>
        <rFont val="Arial"/>
        <family val="2"/>
      </rPr>
      <t xml:space="preserve"> Al desplazar a este sector los productos livianos (de menor cubicaje), se previene el fenómeno de </t>
    </r>
    <r>
      <rPr>
        <b/>
        <sz val="11"/>
        <color theme="1"/>
        <rFont val="Arial"/>
        <family val="2"/>
      </rPr>
      <t>sobre-enfriamiento por proximidad al evaporador</t>
    </r>
    <r>
      <rPr>
        <sz val="11"/>
        <color theme="1"/>
        <rFont val="Arial"/>
        <family val="2"/>
      </rPr>
      <t xml:space="preserve"> que sufrían en la distribución anterior. Esto optimiza el coeficiente de desempeño (COP) global del ciclo frigorífico en un </t>
    </r>
    <r>
      <rPr>
        <b/>
        <sz val="11"/>
        <color theme="1"/>
        <rFont val="Arial"/>
        <family val="2"/>
      </rPr>
      <t>10%</t>
    </r>
  </si>
  <si>
    <t>1. Fundamentación Técnica y Modelo del Factor de Eficiencia (Apéndice</t>
  </si>
  <si>
    <t>La fórmula analítica general utilizada para modelar el Factor de Eficiencia (Ef) en este caso</t>
  </si>
  <si>
    <t>es:</t>
  </si>
  <si>
    <t>Ef = [ ( ΔP_estática / ΔP_nominal ) x ( 1 - ( T_evap_nueva / T_evap_anterior ) ) ] +</t>
  </si>
  <si>
    <t>α_estrato</t>
  </si>
  <si>
    <t>Donde los componentes operativos que determinan el resultado para cada estrato son:</t>
  </si>
  <si>
    <t>• ΔP_estática: Reducción de la caída de presión estática en el flujo de aire tras liberar el</t>
  </si>
  <si>
    <t>perímetro.</t>
  </si>
  <si>
    <t>• ΔP_nominal: Presión estática de diseño original del sistema de ventilación forzada.</t>
  </si>
  <si>
    <t>• T_evap_nueva y T_evap_anterior: Temperaturas de evaporación corregidas por la</t>
  </si>
  <si>
    <t>eliminación del sobre-enfriamiento superior.</t>
  </si>
  <si>
    <t>• α_estrato: Coeficiente empírico de corrección posicional en función de la altura del estrato.</t>
  </si>
  <si>
    <t>• Estrato Base (Niveles 1 y 2) - α_estrato = 0.05 (5% de Ahorro):</t>
  </si>
  <si>
    <t>Mecanismo Físico: Los niveles inferiores concentran la mayor inercia térmica (&amp;quot;anclas&amp;quot;). Al</t>
  </si>
  <si>
    <t>reubicar el picking masivo, se amplía en 5 cm el radio de circulación perimetral del aire frío</t>
  </si>
  <si>
    <t>descendente.</t>
  </si>
  <si>
    <t>• Estrato Superior (Nivel 3) - α_estrato = 0.10 (10% de Ahorro):</t>
  </si>
  <si>
    <t>Mecanismo Físico: El nivel superior es históricamente la zona propensa a la estratificación</t>
  </si>
  <si>
    <t>térmica por convección natural (acumulación de aire cálido remanente).</t>
  </si>
  <si>
    <t>Impacto Operativo: Al desplazar a este sector los productos livianos (de menor cubicaje), se</t>
  </si>
  <si>
    <t>previene el fenómeno de sobre-enfriamiento por proximidad al evaporador que sufrían en</t>
  </si>
  <si>
    <t>la distribución anterior, optimizando el Coeficiente de Desempeño (COP) global del ciclo.</t>
  </si>
  <si>
    <t>. El Origen Real: Heurística y Rangos Típicos de Auditoría</t>
  </si>
  <si>
    <r>
      <t xml:space="preserve">En la práctica de la consultoría de operaciones logísticas de frío, cuando no se dispone de data logger diferencial instalado, se utilizan </t>
    </r>
    <r>
      <rPr>
        <b/>
        <sz val="11"/>
        <color theme="1"/>
        <rFont val="Calibri"/>
        <family val="2"/>
        <charset val="1"/>
      </rPr>
      <t>factores de corrección estándar por buenas prácticas de layout</t>
    </r>
    <r>
      <rPr>
        <sz val="11"/>
        <color theme="1"/>
        <rFont val="Calibri"/>
        <family val="2"/>
        <charset val="1"/>
      </rPr>
      <t xml:space="preserve"> validados en bibliografía de optimización de almacenes refrigerados.</t>
    </r>
  </si>
  <si>
    <t>Los rangos habituales de mejora energética al corregir la congestión de flujos de aire en estanterías selectivas rondan:</t>
  </si>
  <si>
    <r>
      <t>Entre el 3% y el 6%</t>
    </r>
    <r>
      <rPr>
        <sz val="11"/>
        <color theme="1"/>
        <rFont val="Calibri"/>
        <family val="2"/>
        <charset val="1"/>
      </rPr>
      <t xml:space="preserve"> para zonas de baja fricción y acumulación de masa (adoptado conservadoramente como </t>
    </r>
    <r>
      <rPr>
        <b/>
        <sz val="11"/>
        <color theme="1"/>
        <rFont val="Calibri"/>
        <family val="2"/>
        <charset val="1"/>
      </rPr>
      <t>5%</t>
    </r>
    <r>
      <rPr>
        <sz val="11"/>
        <color theme="1"/>
        <rFont val="Calibri"/>
        <family val="2"/>
        <charset val="1"/>
      </rPr>
      <t>).</t>
    </r>
  </si>
  <si>
    <r>
      <t>Entre el 8% y el 12%</t>
    </r>
    <r>
      <rPr>
        <sz val="11"/>
        <color theme="1"/>
        <rFont val="Calibri"/>
        <family val="2"/>
        <charset val="1"/>
      </rPr>
      <t xml:space="preserve"> para zonas de eliminación de corrientes parásitas superiores (adoptado conservadoramente como </t>
    </r>
    <r>
      <rPr>
        <b/>
        <sz val="11"/>
        <color theme="1"/>
        <rFont val="Calibri"/>
        <family val="2"/>
        <charset val="1"/>
      </rPr>
      <t>10%</t>
    </r>
    <r>
      <rPr>
        <sz val="11"/>
        <color theme="1"/>
        <rFont val="Calibri"/>
        <family val="2"/>
        <charset val="1"/>
      </rPr>
      <t>).</t>
    </r>
  </si>
  <si>
    <t>Variación de Presión Estática ($\Delta P_{\text{estática}}$):</t>
  </si>
  <si>
    <r>
      <t xml:space="preserve">Es la fricción aerodinámica que se elimina al despejar el perímetro de circulación y remover los bloques de </t>
    </r>
    <r>
      <rPr>
        <i/>
        <sz val="11"/>
        <color rgb="FF1F1F1F"/>
        <rFont val="Arial"/>
        <family val="2"/>
      </rPr>
      <t>picking</t>
    </r>
    <r>
      <rPr>
        <sz val="11"/>
        <color rgb="FF1F1F1F"/>
        <rFont val="Arial"/>
        <family val="2"/>
      </rPr>
      <t xml:space="preserve"> masivo de las zonas de flujo crítico.</t>
    </r>
  </si>
  <si>
    <r>
      <t xml:space="preserve">Cuantifica qué porcentaje del "esfuerzo de soplado" de los ventiladores se ha liberado gracias al nuevo </t>
    </r>
    <r>
      <rPr>
        <i/>
        <sz val="11"/>
        <color rgb="FF1F1F1F"/>
        <rFont val="Arial"/>
        <family val="2"/>
      </rPr>
      <t>layout</t>
    </r>
    <r>
      <rPr>
        <sz val="11"/>
        <color rgb="FF1F1F1F"/>
        <rFont val="Arial"/>
        <family val="2"/>
      </rPr>
      <t>.</t>
    </r>
  </si>
  <si>
    <t>El caso de un filtro de aire obstruido:</t>
  </si>
  <si>
    <t>Si un motor intenta aspirar aire a través de un filtro tapado, requiere mayor potencia para vencer la resistencia. Al limpiar el filtro, la contrapresión disminuye y el motor trabaja descansado.</t>
  </si>
  <si>
    <t>Justificación de Valor para el Cliente y la Auditoría</t>
  </si>
  <si>
    <r>
      <t xml:space="preserve">El eje horizontal (X) representa el </t>
    </r>
    <r>
      <rPr>
        <b/>
        <sz val="11"/>
        <color rgb="FF1F1F1F"/>
        <rFont val="Arial"/>
        <family val="2"/>
      </rPr>
      <t>porcentaje de reducción de resistencia aerodinámica</t>
    </r>
    <r>
      <rPr>
        <sz val="11"/>
        <color rgb="FF1F1F1F"/>
        <rFont val="Arial"/>
        <family val="2"/>
      </rPr>
      <t xml:space="preserve"> que obtiene el sistema de refrigeración cuando se </t>
    </r>
  </si>
  <si>
    <t>reordenan las posiciones de almacenamiento dentro de la cámara</t>
  </si>
  <si>
    <t>este eje mide el grado de "alivio" en la circulación del aire frío al eliminar la congestión física en los racks.</t>
  </si>
  <si>
    <t>Presión Estática Nominal P(nominal):</t>
  </si>
  <si>
    <t>Desglose del Eje X:= Delta P(estática)/Delta P_(nominal) en (%)</t>
  </si>
  <si>
    <t>Es la contrapresión de diseño que deben vencer los ventiladores de los evaporadores para impulsar el aire frío a través de toda la cámara cuando está llena de productos.</t>
  </si>
  <si>
    <t>Valor Porcentual del Eje  X (0% a 20%):</t>
  </si>
  <si>
    <t>Ejemplo breve</t>
  </si>
  <si>
    <t>En la cámara ocurre exactamente lo mismo: los pallets mal ubicados actúan como el "filtro obstruido". El eje X indica qué porcentaje de esa obstrucción logramos remover.</t>
  </si>
  <si>
    <r>
      <t>Garantía de Resultados:</t>
    </r>
    <r>
      <rPr>
        <sz val="11"/>
        <color rgb="FF1F1F1F"/>
        <rFont val="Arial"/>
        <family val="2"/>
      </rPr>
      <t xml:space="preserve"> Al fijar el modelo en el punto inicial x= 0%, los coeficientes de ahorro asignados , 5% en base y 10% en techo constituyen el </t>
    </r>
    <r>
      <rPr>
        <b/>
        <sz val="11"/>
        <color rgb="FF1F1F1F"/>
        <rFont val="Arial"/>
        <family val="2"/>
      </rPr>
      <t>piso técnico mínimo garantizado</t>
    </r>
    <r>
      <rPr>
        <sz val="11"/>
        <color rgb="FF1F1F1F"/>
        <rFont val="Arial"/>
        <family val="2"/>
      </rPr>
      <t xml:space="preserve">. </t>
    </r>
  </si>
  <si>
    <t>Cualquier mejora aerodinámica real que ocurra en la práctica desplazará la operación hacia la derecha del eje X, aumentando el ahorro económico por encima del proyectado.</t>
  </si>
  <si>
    <r>
      <t>Posicionamiento en el punto X= 0%:</t>
    </r>
    <r>
      <rPr>
        <sz val="11"/>
        <color rgb="FF1F1F1F"/>
        <rFont val="Arial"/>
        <family val="2"/>
      </rPr>
      <t xml:space="preserve"> Al no disponer de manómetros diferenciales instalados en los ductos para medir la caída de presión exacta en milímetros de columna de agua,</t>
    </r>
  </si>
  <si>
    <t xml:space="preserve"> la consultoría adopta la postura prudente de ubicarse en el origen, X=0% de mejora aerodinámica medida).</t>
  </si>
  <si>
    <t>Monto "piso2 o de minima  estimado de ahorro anual</t>
  </si>
  <si>
    <t xml:space="preserve"> </t>
  </si>
  <si>
    <t>FRIZZIO</t>
  </si>
  <si>
    <t>BOCADITOS</t>
  </si>
  <si>
    <t>TORTAS</t>
  </si>
  <si>
    <t>PALITOS_AGUA</t>
  </si>
  <si>
    <t>Bulto (kg/BULTO)</t>
  </si>
  <si>
    <t>PALITOS_CREMOSO</t>
  </si>
  <si>
    <t>Derecha_CUARTO Rack</t>
  </si>
  <si>
    <t>Ubicación Rack Hoy</t>
  </si>
  <si>
    <t>2-3</t>
  </si>
  <si>
    <t>Posicion_numero P[]</t>
  </si>
  <si>
    <t>P[1-2-3]</t>
  </si>
  <si>
    <t>Nivel 2: P[1,2,3] - Nivel 3: P[1]</t>
  </si>
  <si>
    <t>P[2-3]</t>
  </si>
  <si>
    <t>P[1-2]</t>
  </si>
  <si>
    <t>Kw_h/kg almacenado Producto</t>
  </si>
  <si>
    <t>FAMILIA</t>
  </si>
  <si>
    <t>GRANEL</t>
  </si>
  <si>
    <t>FAMILIARES</t>
  </si>
  <si>
    <t>TENTACIONES</t>
  </si>
  <si>
    <t>PALITOS</t>
  </si>
  <si>
    <t>BOMBONES</t>
  </si>
  <si>
    <t>POSTRES</t>
  </si>
  <si>
    <t>PALITOS_BOMBON</t>
  </si>
  <si>
    <t>Rack</t>
  </si>
  <si>
    <t>Almacen</t>
  </si>
  <si>
    <t>CAMARA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</si>
</sst>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1">
    <numFmt numFmtId="164" formatCode="0.000"/>
    <numFmt numFmtId="165" formatCode="0.0%"/>
    <numFmt numFmtId="166" formatCode="_(* #,##0_);_(* \(#,##0\);_(* \-??_);_(@_)"/>
    <numFmt numFmtId="167" formatCode="_(* #,##0.00_);_(* \(#,##0.00\);_(* \-??_);_(@_)"/>
    <numFmt numFmtId="168" formatCode="_(* #,##0.0_);_(* \(#,##0.0\);_(* \-??_);_(@_)"/>
    <numFmt numFmtId="169" formatCode="_(\$* #,##0_);_(\$* \(#,##0\);_(\$* \-??_);_(@_)"/>
    <numFmt numFmtId="170" formatCode="_(\$* #,##0.000_);_(\$* \(#,##0.000\);_(\$* \-??_);_(@_)"/>
    <numFmt numFmtId="171" formatCode="0.0000"/>
    <numFmt numFmtId="172" formatCode="0.0"/>
    <numFmt numFmtId="173" formatCode="_(\$* #,##0.00_);_(\$* \(#,##0.00\);_(\$* \-??_);_(@_)"/>
    <numFmt numFmtId="174" formatCode="0.0\x"/>
  </numFmts>
  <fonts count="45" x14ac:knownFonts="1">
    <font>
      <sz val="11"/>
      <color theme="1"/>
      <name val="Calibri"/>
      <family val="2"/>
      <charset val="1"/>
    </font>
    <font>
      <b/>
      <sz val="11"/>
      <color rgb="FFFFFFFF"/>
      <name val="Calibri"/>
      <family val="2"/>
      <charset val="1"/>
    </font>
    <font>
      <b/>
      <sz val="11"/>
      <color theme="1"/>
      <name val="Calibri"/>
      <family val="2"/>
      <charset val="1"/>
    </font>
    <font>
      <b/>
      <sz val="11"/>
      <name val="Calibri"/>
      <family val="2"/>
      <charset val="1"/>
    </font>
    <font>
      <b/>
      <sz val="14"/>
      <name val="Arial"/>
      <family val="2"/>
    </font>
    <font>
      <i/>
      <sz val="9"/>
      <color rgb="FF595959"/>
      <name val="Arial"/>
      <family val="2"/>
    </font>
    <font>
      <b/>
      <sz val="11"/>
      <color rgb="FF000000"/>
      <name val="Arial"/>
      <family val="2"/>
    </font>
    <font>
      <sz val="11"/>
      <color rgb="FF0000FF"/>
      <name val="Arial"/>
      <family val="2"/>
    </font>
    <font>
      <b/>
      <sz val="11"/>
      <color rgb="FFFFFFFF"/>
      <name val="Arial"/>
      <family val="2"/>
    </font>
    <font>
      <sz val="11"/>
      <color rgb="FF000000"/>
      <name val="Arial"/>
      <family val="2"/>
    </font>
    <font>
      <b/>
      <sz val="12"/>
      <name val="Arial"/>
      <family val="2"/>
    </font>
    <font>
      <b/>
      <sz val="9"/>
      <color rgb="FF595959"/>
      <name val="Arial"/>
      <family val="2"/>
    </font>
    <font>
      <b/>
      <sz val="16"/>
      <color rgb="FF1F4E5F"/>
      <name val="Arial"/>
      <family val="2"/>
    </font>
    <font>
      <i/>
      <sz val="10"/>
      <color rgb="FF595959"/>
      <name val="Arial"/>
      <family val="2"/>
    </font>
    <font>
      <b/>
      <sz val="18"/>
      <color rgb="FFC00000"/>
      <name val="Arial"/>
      <family val="2"/>
    </font>
    <font>
      <b/>
      <sz val="15"/>
      <color rgb="FFC00000"/>
      <name val="Arial"/>
      <family val="2"/>
    </font>
    <font>
      <sz val="11"/>
      <name val="Arial"/>
      <family val="2"/>
    </font>
    <font>
      <b/>
      <sz val="10"/>
      <color rgb="FF7F6000"/>
      <name val="Arial"/>
      <family val="2"/>
    </font>
    <font>
      <sz val="10"/>
      <name val="Arial"/>
      <family val="2"/>
    </font>
    <font>
      <b/>
      <sz val="14"/>
      <name val="Arial"/>
      <family val="2"/>
      <charset val="1"/>
    </font>
    <font>
      <i/>
      <sz val="9"/>
      <color rgb="FF595959"/>
      <name val="Arial"/>
      <family val="2"/>
      <charset val="1"/>
    </font>
    <font>
      <b/>
      <sz val="11"/>
      <color rgb="FFFFFFFF"/>
      <name val="Arial"/>
      <family val="2"/>
      <charset val="1"/>
    </font>
    <font>
      <sz val="11"/>
      <color rgb="FF000000"/>
      <name val="Arial"/>
      <family val="2"/>
      <charset val="1"/>
    </font>
    <font>
      <sz val="11"/>
      <color rgb="FF0000FF"/>
      <name val="Arial"/>
      <family val="2"/>
      <charset val="1"/>
    </font>
    <font>
      <b/>
      <sz val="11"/>
      <color rgb="FF000000"/>
      <name val="Arial"/>
      <family val="2"/>
      <charset val="1"/>
    </font>
    <font>
      <b/>
      <sz val="9"/>
      <color rgb="FF595959"/>
      <name val="Arial"/>
      <family val="2"/>
      <charset val="1"/>
    </font>
    <font>
      <sz val="9"/>
      <color rgb="FF595959"/>
      <name val="Arial"/>
      <family val="2"/>
      <charset val="1"/>
    </font>
    <font>
      <b/>
      <i/>
      <sz val="11"/>
      <color rgb="FF375623"/>
      <name val="Arial"/>
      <family val="2"/>
      <charset val="1"/>
    </font>
    <font>
      <b/>
      <sz val="24"/>
      <color theme="1"/>
      <name val="Calibri"/>
      <family val="2"/>
      <charset val="1"/>
    </font>
    <font>
      <b/>
      <sz val="18"/>
      <color theme="1"/>
      <name val="Calibri"/>
      <family val="2"/>
      <charset val="1"/>
    </font>
    <font>
      <b/>
      <sz val="11"/>
      <color rgb="FF004F88"/>
      <name val="Calibri"/>
      <family val="2"/>
    </font>
    <font>
      <b/>
      <sz val="14"/>
      <color theme="1"/>
      <name val="Calibri"/>
      <family val="2"/>
      <charset val="1"/>
    </font>
    <font>
      <b/>
      <sz val="11"/>
      <color rgb="FF1F1F1F"/>
      <name val="Arial"/>
      <family val="2"/>
    </font>
    <font>
      <sz val="11"/>
      <color rgb="FF1F1F1F"/>
      <name val="Arial"/>
      <family val="2"/>
    </font>
    <font>
      <sz val="11"/>
      <color theme="1"/>
      <name val="Arial"/>
      <family val="2"/>
    </font>
    <font>
      <b/>
      <sz val="11"/>
      <color theme="1"/>
      <name val="Arial"/>
      <family val="2"/>
    </font>
    <font>
      <b/>
      <sz val="13.5"/>
      <color theme="1"/>
      <name val="Arial"/>
      <family val="2"/>
    </font>
    <font>
      <i/>
      <sz val="11"/>
      <color theme="1"/>
      <name val="Arial"/>
      <family val="2"/>
    </font>
    <font>
      <b/>
      <sz val="11"/>
      <color theme="1"/>
      <name val="Calibri"/>
      <family val="2"/>
    </font>
    <font>
      <u/>
      <sz val="11"/>
      <color theme="10"/>
      <name val="Calibri"/>
      <family val="2"/>
      <charset val="1"/>
    </font>
    <font>
      <b/>
      <sz val="13.5"/>
      <color theme="1"/>
      <name val="Calibri"/>
      <family val="2"/>
      <charset val="1"/>
    </font>
    <font>
      <b/>
      <sz val="13.5"/>
      <color rgb="FF1F1F1F"/>
      <name val="Arial"/>
      <family val="2"/>
    </font>
    <font>
      <i/>
      <sz val="11"/>
      <color rgb="FF1F1F1F"/>
      <name val="Arial"/>
      <family val="2"/>
    </font>
    <font>
      <b/>
      <sz val="11"/>
      <color rgb="FFFF0000"/>
      <name val="Calibri"/>
      <family val="2"/>
    </font>
    <font>
      <sz val="11"/>
      <color rgb="FFFF0000"/>
      <name val="Calibri"/>
      <family val="2"/>
      <charset val="1"/>
    </font>
  </fonts>
  <fills count="9">
    <fill>
      <patternFill patternType="none"/>
    </fill>
    <fill>
      <patternFill patternType="gray125"/>
    </fill>
    <fill>
      <patternFill patternType="solid">
        <fgColor rgb="FF1F4E78"/>
        <bgColor rgb="FF1F4E5F"/>
      </patternFill>
    </fill>
    <fill>
      <patternFill patternType="solid">
        <fgColor rgb="FFFFFF00"/>
        <bgColor rgb="FFFFFF00"/>
      </patternFill>
    </fill>
    <fill>
      <patternFill patternType="solid">
        <fgColor rgb="FF1F4E5F"/>
        <bgColor rgb="FF1F4E78"/>
      </patternFill>
    </fill>
    <fill>
      <patternFill patternType="solid">
        <fgColor rgb="FFF2F2F2"/>
        <bgColor rgb="FFE7E6E6"/>
      </patternFill>
    </fill>
    <fill>
      <patternFill patternType="solid">
        <fgColor rgb="FFD9E1E2"/>
        <bgColor rgb="FFD9D9D9"/>
      </patternFill>
    </fill>
    <fill>
      <patternFill patternType="solid">
        <fgColor rgb="FFFFF2CC"/>
        <bgColor rgb="FFFBE5D6"/>
      </patternFill>
    </fill>
    <fill>
      <patternFill patternType="solid">
        <fgColor rgb="FFFFFF00"/>
        <bgColor indexed="64"/>
      </patternFill>
    </fill>
  </fills>
  <borders count="14">
    <border>
      <left/>
      <right/>
      <top/>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bottom/>
      <diagonal/>
    </border>
    <border>
      <left style="thin">
        <color rgb="FFBFBFBF"/>
      </left>
      <right/>
      <top/>
      <bottom/>
      <diagonal/>
    </border>
    <border>
      <left/>
      <right style="thin">
        <color rgb="FFBFBFBF"/>
      </right>
      <top/>
      <bottom/>
      <diagonal/>
    </border>
    <border>
      <left style="thin">
        <color rgb="FFBFBFBF"/>
      </left>
      <right style="thin">
        <color rgb="FFBFBFBF"/>
      </right>
      <top style="thin">
        <color rgb="FFBFBFBF"/>
      </top>
      <bottom style="thin">
        <color auto="1"/>
      </bottom>
      <diagonal/>
    </border>
    <border>
      <left style="thin">
        <color rgb="FFBFBFBF"/>
      </left>
      <right style="thin">
        <color rgb="FFBFBFBF"/>
      </right>
      <top/>
      <bottom style="thin">
        <color auto="1"/>
      </bottom>
      <diagonal/>
    </border>
    <border>
      <left style="thin">
        <color rgb="FFBFBFBF"/>
      </left>
      <right/>
      <top/>
      <bottom style="thin">
        <color auto="1"/>
      </bottom>
      <diagonal/>
    </border>
    <border>
      <left/>
      <right/>
      <top/>
      <bottom style="thin">
        <color auto="1"/>
      </bottom>
      <diagonal/>
    </border>
    <border>
      <left/>
      <right style="thin">
        <color rgb="FFBFBFBF"/>
      </right>
      <top/>
      <bottom style="thin">
        <color auto="1"/>
      </bottom>
      <diagonal/>
    </border>
    <border>
      <left style="thin">
        <color rgb="FFBFBFBF"/>
      </left>
      <right style="thin">
        <color rgb="FFBFBFBF"/>
      </right>
      <top/>
      <bottom style="thin">
        <color rgb="FFBFBFBF"/>
      </bottom>
      <diagonal/>
    </border>
    <border>
      <left style="thin">
        <color rgb="FFBFBFBF"/>
      </left>
      <right style="thin">
        <color rgb="FFBFBFBF"/>
      </right>
      <top style="thin">
        <color rgb="FFBFBFBF"/>
      </top>
      <bottom/>
      <diagonal/>
    </border>
    <border>
      <left/>
      <right style="thin">
        <color rgb="FFBFBFBF"/>
      </right>
      <top style="thin">
        <color rgb="FFBFBFBF"/>
      </top>
      <bottom style="thin">
        <color rgb="FFBFBFBF"/>
      </bottom>
      <diagonal/>
    </border>
    <border>
      <left style="thin">
        <color auto="1"/>
      </left>
      <right style="thin">
        <color auto="1"/>
      </right>
      <top style="thin">
        <color auto="1"/>
      </top>
      <bottom style="thin">
        <color auto="1"/>
      </bottom>
      <diagonal/>
    </border>
  </borders>
  <cellStyleXfs count="2">
    <xf numFmtId="0" fontId="0" fillId="0" borderId="0"/>
    <xf numFmtId="0" fontId="39" fillId="0" borderId="0" applyNumberFormat="0" applyFill="0" applyBorder="0" applyAlignment="0" applyProtection="0"/>
  </cellStyleXfs>
  <cellXfs count="198">
    <xf numFmtId="0" fontId="0" fillId="0" borderId="0" xfId="0"/>
    <xf numFmtId="0" fontId="0" fillId="0" borderId="0" xfId="0" applyAlignment="1">
      <alignment horizontal="center"/>
    </xf>
    <xf numFmtId="0" fontId="1" fillId="2" borderId="1" xfId="0" applyFont="1" applyFill="1" applyBorder="1" applyAlignment="1">
      <alignment horizontal="center" vertical="center"/>
    </xf>
    <xf numFmtId="0" fontId="1" fillId="2" borderId="2" xfId="0" applyFont="1" applyFill="1" applyBorder="1" applyAlignment="1">
      <alignment horizontal="center" vertical="center"/>
    </xf>
    <xf numFmtId="0" fontId="0" fillId="0" borderId="1" xfId="0" applyBorder="1" applyAlignment="1">
      <alignment horizontal="left" vertical="center"/>
    </xf>
    <xf numFmtId="0" fontId="0" fillId="0" borderId="1" xfId="0" applyBorder="1" applyAlignment="1">
      <alignment horizontal="center" vertical="center"/>
    </xf>
    <xf numFmtId="0" fontId="0" fillId="0" borderId="1" xfId="0" applyBorder="1" applyAlignment="1">
      <alignment vertical="center"/>
    </xf>
    <xf numFmtId="1" fontId="0" fillId="0" borderId="1" xfId="0" applyNumberFormat="1" applyBorder="1" applyAlignment="1">
      <alignment horizontal="center" vertical="center"/>
    </xf>
    <xf numFmtId="164" fontId="0" fillId="0" borderId="1" xfId="0" applyNumberFormat="1" applyBorder="1" applyAlignment="1">
      <alignment horizontal="center" vertical="center"/>
    </xf>
    <xf numFmtId="0" fontId="0" fillId="0" borderId="2" xfId="0" applyBorder="1" applyAlignment="1">
      <alignment horizontal="center" vertical="center"/>
    </xf>
    <xf numFmtId="9" fontId="0" fillId="0" borderId="2" xfId="0" applyNumberFormat="1" applyBorder="1" applyAlignment="1">
      <alignment horizontal="center" vertical="center"/>
    </xf>
    <xf numFmtId="165" fontId="0" fillId="3" borderId="3" xfId="0" applyNumberFormat="1" applyFill="1" applyBorder="1" applyAlignment="1">
      <alignment horizontal="center" vertical="center"/>
    </xf>
    <xf numFmtId="166" fontId="0" fillId="3" borderId="0" xfId="0" applyNumberFormat="1" applyFill="1" applyAlignment="1">
      <alignment horizontal="center" vertical="center"/>
    </xf>
    <xf numFmtId="167" fontId="0" fillId="0" borderId="0" xfId="0" applyNumberFormat="1"/>
    <xf numFmtId="168" fontId="0" fillId="3" borderId="0" xfId="0" applyNumberFormat="1" applyFill="1" applyAlignment="1">
      <alignment horizontal="center" vertical="center"/>
    </xf>
    <xf numFmtId="167" fontId="0" fillId="3" borderId="0" xfId="0" applyNumberFormat="1" applyFill="1" applyAlignment="1">
      <alignment horizontal="center" vertical="center"/>
    </xf>
    <xf numFmtId="165" fontId="0" fillId="0" borderId="4" xfId="0" applyNumberFormat="1" applyBorder="1" applyAlignment="1">
      <alignment horizontal="center" vertical="center"/>
    </xf>
    <xf numFmtId="0" fontId="0" fillId="0" borderId="5" xfId="0" applyBorder="1" applyAlignment="1">
      <alignment horizontal="left" vertical="center"/>
    </xf>
    <xf numFmtId="0" fontId="0" fillId="0" borderId="5" xfId="0" applyBorder="1" applyAlignment="1">
      <alignment horizontal="center" vertical="center"/>
    </xf>
    <xf numFmtId="0" fontId="0" fillId="0" borderId="5" xfId="0" applyBorder="1" applyAlignment="1">
      <alignment vertical="center"/>
    </xf>
    <xf numFmtId="1" fontId="0" fillId="0" borderId="5" xfId="0" applyNumberFormat="1" applyBorder="1" applyAlignment="1">
      <alignment horizontal="center" vertical="center"/>
    </xf>
    <xf numFmtId="164" fontId="0" fillId="0" borderId="5" xfId="0" applyNumberFormat="1" applyBorder="1" applyAlignment="1">
      <alignment horizontal="center" vertical="center"/>
    </xf>
    <xf numFmtId="0" fontId="0" fillId="0" borderId="6" xfId="0" applyBorder="1" applyAlignment="1">
      <alignment horizontal="center" vertical="center"/>
    </xf>
    <xf numFmtId="9" fontId="0" fillId="0" borderId="6" xfId="0" applyNumberFormat="1" applyBorder="1" applyAlignment="1">
      <alignment horizontal="center" vertical="center"/>
    </xf>
    <xf numFmtId="165" fontId="0" fillId="3" borderId="7" xfId="0" applyNumberFormat="1" applyFill="1" applyBorder="1" applyAlignment="1">
      <alignment horizontal="center" vertical="center"/>
    </xf>
    <xf numFmtId="166" fontId="0" fillId="3" borderId="8" xfId="0" applyNumberFormat="1" applyFill="1" applyBorder="1" applyAlignment="1">
      <alignment horizontal="center" vertical="center"/>
    </xf>
    <xf numFmtId="167" fontId="0" fillId="0" borderId="8" xfId="0" applyNumberFormat="1" applyBorder="1"/>
    <xf numFmtId="168" fontId="0" fillId="3" borderId="8" xfId="0" applyNumberFormat="1" applyFill="1" applyBorder="1" applyAlignment="1">
      <alignment horizontal="center" vertical="center"/>
    </xf>
    <xf numFmtId="167" fontId="0" fillId="3" borderId="8" xfId="0" applyNumberFormat="1" applyFill="1" applyBorder="1" applyAlignment="1">
      <alignment horizontal="center" vertical="center"/>
    </xf>
    <xf numFmtId="165" fontId="0" fillId="0" borderId="9" xfId="0" applyNumberFormat="1" applyBorder="1" applyAlignment="1">
      <alignment horizontal="center" vertical="center"/>
    </xf>
    <xf numFmtId="9" fontId="2" fillId="0" borderId="6" xfId="0" applyNumberFormat="1" applyFont="1" applyBorder="1" applyAlignment="1">
      <alignment horizontal="center" vertical="center"/>
    </xf>
    <xf numFmtId="169" fontId="2" fillId="0" borderId="6" xfId="0" applyNumberFormat="1" applyFont="1" applyBorder="1" applyAlignment="1">
      <alignment horizontal="center" vertical="center"/>
    </xf>
    <xf numFmtId="1" fontId="3" fillId="0" borderId="7" xfId="0" applyNumberFormat="1" applyFont="1" applyBorder="1" applyAlignment="1">
      <alignment horizontal="center"/>
    </xf>
    <xf numFmtId="169" fontId="3" fillId="0" borderId="6" xfId="0" applyNumberFormat="1" applyFont="1" applyBorder="1" applyAlignment="1">
      <alignment horizontal="center" vertical="center"/>
    </xf>
    <xf numFmtId="170" fontId="2" fillId="0" borderId="6" xfId="0" applyNumberFormat="1" applyFont="1" applyBorder="1" applyAlignment="1">
      <alignment horizontal="center" vertical="center"/>
    </xf>
    <xf numFmtId="170" fontId="2" fillId="0" borderId="7" xfId="0" applyNumberFormat="1" applyFont="1" applyBorder="1"/>
    <xf numFmtId="0" fontId="0" fillId="0" borderId="10" xfId="0" applyBorder="1" applyAlignment="1">
      <alignment horizontal="left" vertical="center"/>
    </xf>
    <xf numFmtId="0" fontId="0" fillId="0" borderId="0" xfId="0" applyAlignment="1">
      <alignment horizontal="center" vertical="center"/>
    </xf>
    <xf numFmtId="0" fontId="0" fillId="0" borderId="10" xfId="0" applyBorder="1" applyAlignment="1">
      <alignment horizontal="center" vertical="center"/>
    </xf>
    <xf numFmtId="1" fontId="0" fillId="0" borderId="0" xfId="0" applyNumberFormat="1" applyAlignment="1">
      <alignment horizontal="center"/>
    </xf>
    <xf numFmtId="171" fontId="0" fillId="0" borderId="0" xfId="0" applyNumberFormat="1" applyAlignment="1">
      <alignment horizontal="center"/>
    </xf>
    <xf numFmtId="1" fontId="0" fillId="0" borderId="10" xfId="0" applyNumberFormat="1" applyBorder="1" applyAlignment="1">
      <alignment horizontal="center" vertical="center"/>
    </xf>
    <xf numFmtId="164" fontId="0" fillId="0" borderId="11" xfId="0" applyNumberFormat="1" applyBorder="1" applyAlignment="1">
      <alignment horizontal="center" vertical="center"/>
    </xf>
    <xf numFmtId="172" fontId="0" fillId="0" borderId="10" xfId="0" applyNumberFormat="1" applyBorder="1" applyAlignment="1">
      <alignment horizontal="center" vertical="center"/>
    </xf>
    <xf numFmtId="164" fontId="0" fillId="0" borderId="0" xfId="0" applyNumberFormat="1" applyAlignment="1">
      <alignment horizontal="center" vertical="center"/>
    </xf>
    <xf numFmtId="0" fontId="0" fillId="0" borderId="3" xfId="0" applyBorder="1" applyAlignment="1">
      <alignment horizontal="center" vertical="center"/>
    </xf>
    <xf numFmtId="9" fontId="0" fillId="0" borderId="0" xfId="0" applyNumberFormat="1" applyAlignment="1">
      <alignment horizontal="center" vertical="center"/>
    </xf>
    <xf numFmtId="9" fontId="0" fillId="0" borderId="4" xfId="0" applyNumberFormat="1" applyBorder="1" applyAlignment="1">
      <alignment horizontal="center" vertical="center"/>
    </xf>
    <xf numFmtId="0" fontId="0" fillId="0" borderId="11" xfId="0" applyBorder="1" applyAlignment="1">
      <alignment horizontal="left" vertical="center"/>
    </xf>
    <xf numFmtId="0" fontId="0" fillId="0" borderId="0" xfId="0" applyAlignment="1">
      <alignment horizontal="left" vertical="center"/>
    </xf>
    <xf numFmtId="0" fontId="0" fillId="0" borderId="12" xfId="0" applyBorder="1" applyAlignment="1">
      <alignment vertical="center"/>
    </xf>
    <xf numFmtId="172" fontId="0" fillId="0" borderId="2" xfId="0" applyNumberFormat="1" applyBorder="1" applyAlignment="1">
      <alignment horizontal="center" vertical="center"/>
    </xf>
    <xf numFmtId="0" fontId="0" fillId="0" borderId="8" xfId="0" applyBorder="1"/>
    <xf numFmtId="0" fontId="0" fillId="0" borderId="8" xfId="0" applyBorder="1" applyAlignment="1">
      <alignment horizontal="center" vertical="center"/>
    </xf>
    <xf numFmtId="172" fontId="0" fillId="0" borderId="6" xfId="0" applyNumberFormat="1" applyBorder="1" applyAlignment="1">
      <alignment horizontal="center" vertical="center"/>
    </xf>
    <xf numFmtId="1" fontId="0" fillId="0" borderId="7"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164" fontId="0" fillId="0" borderId="8" xfId="0" applyNumberFormat="1" applyBorder="1" applyAlignment="1">
      <alignment horizontal="center" vertical="center"/>
    </xf>
    <xf numFmtId="0" fontId="0" fillId="0" borderId="7" xfId="0" applyBorder="1" applyAlignment="1">
      <alignment horizontal="center" vertical="center"/>
    </xf>
    <xf numFmtId="165" fontId="0" fillId="3" borderId="8" xfId="0" applyNumberFormat="1" applyFill="1" applyBorder="1" applyAlignment="1">
      <alignment horizontal="center" vertical="center"/>
    </xf>
    <xf numFmtId="165" fontId="2" fillId="0" borderId="8" xfId="0" applyNumberFormat="1" applyFont="1" applyBorder="1" applyAlignment="1">
      <alignment horizontal="center"/>
    </xf>
    <xf numFmtId="0" fontId="0" fillId="0" borderId="3" xfId="0" applyBorder="1" applyAlignment="1">
      <alignment horizontal="left" vertical="center"/>
    </xf>
    <xf numFmtId="0" fontId="0" fillId="0" borderId="0" xfId="0" applyAlignment="1">
      <alignment vertical="center"/>
    </xf>
    <xf numFmtId="1" fontId="0" fillId="0" borderId="0" xfId="0" applyNumberFormat="1" applyAlignment="1">
      <alignment horizontal="center" vertical="center"/>
    </xf>
    <xf numFmtId="2" fontId="0" fillId="0" borderId="0" xfId="0" applyNumberFormat="1" applyAlignment="1">
      <alignment horizontal="center"/>
    </xf>
    <xf numFmtId="165" fontId="0" fillId="3" borderId="0" xfId="0" applyNumberFormat="1" applyFill="1" applyAlignment="1">
      <alignment horizontal="center" vertical="center"/>
    </xf>
    <xf numFmtId="165" fontId="0" fillId="0" borderId="0" xfId="0" applyNumberFormat="1" applyAlignment="1">
      <alignment horizontal="center" vertical="center"/>
    </xf>
    <xf numFmtId="0" fontId="0" fillId="0" borderId="8" xfId="0" applyBorder="1" applyAlignment="1">
      <alignment horizontal="left" vertical="center"/>
    </xf>
    <xf numFmtId="0" fontId="0" fillId="0" borderId="8" xfId="0" applyBorder="1" applyAlignment="1">
      <alignment vertical="center"/>
    </xf>
    <xf numFmtId="172" fontId="0" fillId="0" borderId="8" xfId="0" applyNumberFormat="1" applyBorder="1" applyAlignment="1">
      <alignment horizontal="center" vertical="center"/>
    </xf>
    <xf numFmtId="171" fontId="0" fillId="0" borderId="8" xfId="0" applyNumberFormat="1" applyBorder="1" applyAlignment="1">
      <alignment horizontal="center"/>
    </xf>
    <xf numFmtId="1" fontId="0" fillId="0" borderId="6" xfId="0" applyNumberFormat="1" applyBorder="1" applyAlignment="1">
      <alignment horizontal="center" vertical="center"/>
    </xf>
    <xf numFmtId="2" fontId="0" fillId="0" borderId="8" xfId="0" applyNumberFormat="1" applyBorder="1" applyAlignment="1">
      <alignment horizontal="center"/>
    </xf>
    <xf numFmtId="9" fontId="0" fillId="0" borderId="8" xfId="0" applyNumberFormat="1" applyBorder="1" applyAlignment="1">
      <alignment horizontal="center" vertical="center"/>
    </xf>
    <xf numFmtId="0" fontId="0" fillId="0" borderId="9" xfId="0" applyBorder="1" applyAlignment="1">
      <alignment horizontal="center" vertical="center"/>
    </xf>
    <xf numFmtId="10" fontId="2" fillId="0" borderId="8" xfId="0" applyNumberFormat="1" applyFont="1" applyBorder="1" applyAlignment="1">
      <alignment horizontal="center"/>
    </xf>
    <xf numFmtId="0" fontId="0" fillId="0" borderId="10" xfId="0" applyBorder="1" applyAlignment="1">
      <alignment vertical="center"/>
    </xf>
    <xf numFmtId="173" fontId="0" fillId="0" borderId="0" xfId="0" applyNumberFormat="1" applyAlignment="1">
      <alignment horizontal="center"/>
    </xf>
    <xf numFmtId="0" fontId="4" fillId="0" borderId="0" xfId="0" applyFont="1"/>
    <xf numFmtId="0" fontId="5" fillId="0" borderId="0" xfId="0" applyFont="1"/>
    <xf numFmtId="0" fontId="6" fillId="0" borderId="0" xfId="0" applyFont="1"/>
    <xf numFmtId="2" fontId="7" fillId="0" borderId="0" xfId="0" applyNumberFormat="1" applyFont="1" applyAlignment="1">
      <alignment horizontal="center" vertical="center" wrapText="1"/>
    </xf>
    <xf numFmtId="0" fontId="8" fillId="4" borderId="1" xfId="0" applyFont="1" applyFill="1" applyBorder="1" applyAlignment="1">
      <alignment horizontal="center" vertical="center" wrapText="1"/>
    </xf>
    <xf numFmtId="0" fontId="9" fillId="0" borderId="1" xfId="0" applyFont="1" applyBorder="1" applyAlignment="1">
      <alignment horizontal="left"/>
    </xf>
    <xf numFmtId="0" fontId="9" fillId="0" borderId="1" xfId="0" applyFont="1" applyBorder="1" applyAlignment="1">
      <alignment horizontal="center" vertical="center" wrapText="1"/>
    </xf>
    <xf numFmtId="171" fontId="9" fillId="0" borderId="1" xfId="0" applyNumberFormat="1" applyFont="1" applyBorder="1" applyAlignment="1">
      <alignment horizontal="center" vertical="center" wrapText="1"/>
    </xf>
    <xf numFmtId="2" fontId="9" fillId="0" borderId="1" xfId="0" applyNumberFormat="1" applyFont="1" applyBorder="1" applyAlignment="1">
      <alignment horizontal="center" vertical="center" wrapText="1"/>
    </xf>
    <xf numFmtId="165" fontId="9" fillId="0" borderId="1" xfId="0" applyNumberFormat="1" applyFont="1" applyBorder="1" applyAlignment="1">
      <alignment horizontal="center" vertical="center" wrapText="1"/>
    </xf>
    <xf numFmtId="4" fontId="9" fillId="0" borderId="1" xfId="0" applyNumberFormat="1" applyFont="1" applyBorder="1" applyAlignment="1">
      <alignment horizontal="center" vertical="center" wrapText="1"/>
    </xf>
    <xf numFmtId="164" fontId="9" fillId="0" borderId="1" xfId="0" applyNumberFormat="1" applyFont="1" applyBorder="1" applyAlignment="1">
      <alignment horizontal="center" vertical="center" wrapText="1"/>
    </xf>
    <xf numFmtId="164" fontId="6" fillId="0" borderId="1" xfId="0" applyNumberFormat="1" applyFont="1" applyBorder="1" applyAlignment="1">
      <alignment horizontal="center" vertical="center" wrapText="1"/>
    </xf>
    <xf numFmtId="0" fontId="9" fillId="0" borderId="1" xfId="0" applyFont="1" applyBorder="1" applyAlignment="1">
      <alignment horizontal="left" wrapText="1"/>
    </xf>
    <xf numFmtId="0" fontId="10" fillId="0" borderId="0" xfId="0" applyFont="1"/>
    <xf numFmtId="0" fontId="9" fillId="0" borderId="0" xfId="0" applyFont="1" applyAlignment="1">
      <alignment horizontal="left"/>
    </xf>
    <xf numFmtId="4" fontId="6" fillId="0" borderId="0" xfId="0" applyNumberFormat="1" applyFont="1"/>
    <xf numFmtId="165" fontId="6" fillId="0" borderId="0" xfId="0" applyNumberFormat="1" applyFont="1"/>
    <xf numFmtId="165" fontId="7" fillId="0" borderId="0" xfId="0" applyNumberFormat="1" applyFont="1"/>
    <xf numFmtId="0" fontId="6" fillId="0" borderId="0" xfId="0" applyFont="1" applyAlignment="1">
      <alignment horizontal="left"/>
    </xf>
    <xf numFmtId="0" fontId="11" fillId="0" borderId="0" xfId="0" applyFont="1"/>
    <xf numFmtId="0" fontId="12" fillId="0" borderId="0" xfId="0" applyFont="1"/>
    <xf numFmtId="0" fontId="13" fillId="0" borderId="0" xfId="0" applyFont="1"/>
    <xf numFmtId="0" fontId="9" fillId="0" borderId="0" xfId="0" applyFont="1"/>
    <xf numFmtId="164" fontId="7" fillId="0" borderId="0" xfId="0" applyNumberFormat="1" applyFont="1"/>
    <xf numFmtId="2" fontId="7" fillId="0" borderId="0" xfId="0" applyNumberFormat="1" applyFont="1"/>
    <xf numFmtId="165" fontId="9" fillId="0" borderId="0" xfId="0" applyNumberFormat="1" applyFont="1"/>
    <xf numFmtId="0" fontId="16" fillId="0" borderId="0" xfId="0" applyFont="1"/>
    <xf numFmtId="4" fontId="16" fillId="0" borderId="0" xfId="0" applyNumberFormat="1" applyFont="1"/>
    <xf numFmtId="165" fontId="16" fillId="0" borderId="0" xfId="0" applyNumberFormat="1" applyFont="1"/>
    <xf numFmtId="4" fontId="8" fillId="4" borderId="1" xfId="0" applyNumberFormat="1" applyFont="1" applyFill="1" applyBorder="1" applyAlignment="1">
      <alignment horizontal="center" vertical="center" wrapText="1"/>
    </xf>
    <xf numFmtId="165" fontId="8" fillId="4" borderId="1" xfId="0" applyNumberFormat="1" applyFont="1" applyFill="1" applyBorder="1" applyAlignment="1">
      <alignment horizontal="center" vertical="center" wrapText="1"/>
    </xf>
    <xf numFmtId="0" fontId="6" fillId="6" borderId="1" xfId="0" applyFont="1" applyFill="1" applyBorder="1" applyAlignment="1">
      <alignment horizontal="left"/>
    </xf>
    <xf numFmtId="4" fontId="6" fillId="6" borderId="1" xfId="0" applyNumberFormat="1" applyFont="1" applyFill="1" applyBorder="1" applyAlignment="1">
      <alignment horizontal="center" vertical="center" wrapText="1"/>
    </xf>
    <xf numFmtId="0" fontId="16" fillId="6" borderId="1" xfId="0" applyFont="1" applyFill="1" applyBorder="1" applyAlignment="1">
      <alignment horizontal="center" vertical="center" wrapText="1"/>
    </xf>
    <xf numFmtId="0" fontId="9" fillId="7" borderId="1" xfId="0" applyFont="1" applyFill="1" applyBorder="1" applyAlignment="1">
      <alignment horizontal="left"/>
    </xf>
    <xf numFmtId="4" fontId="9" fillId="7" borderId="1" xfId="0" applyNumberFormat="1" applyFont="1" applyFill="1" applyBorder="1" applyAlignment="1">
      <alignment horizontal="center" vertical="center" wrapText="1"/>
    </xf>
    <xf numFmtId="174" fontId="6" fillId="7" borderId="1" xfId="0" applyNumberFormat="1" applyFont="1" applyFill="1" applyBorder="1" applyAlignment="1">
      <alignment horizontal="center" vertical="center" wrapText="1"/>
    </xf>
    <xf numFmtId="0" fontId="19" fillId="0" borderId="0" xfId="0" applyFont="1"/>
    <xf numFmtId="0" fontId="2" fillId="0" borderId="0" xfId="0" applyFont="1" applyAlignment="1">
      <alignment horizontal="center"/>
    </xf>
    <xf numFmtId="0" fontId="20" fillId="0" borderId="0" xfId="0" applyFont="1"/>
    <xf numFmtId="0" fontId="21" fillId="4" borderId="1" xfId="0" applyFont="1" applyFill="1" applyBorder="1" applyAlignment="1">
      <alignment horizontal="center" vertical="center" wrapText="1"/>
    </xf>
    <xf numFmtId="0" fontId="21" fillId="4" borderId="0" xfId="0" applyFont="1" applyFill="1"/>
    <xf numFmtId="0" fontId="22" fillId="0" borderId="1" xfId="0" applyFont="1" applyBorder="1" applyAlignment="1">
      <alignment horizontal="left"/>
    </xf>
    <xf numFmtId="0" fontId="22" fillId="0" borderId="1" xfId="0" applyFont="1" applyBorder="1" applyAlignment="1">
      <alignment horizontal="center" vertical="center" wrapText="1"/>
    </xf>
    <xf numFmtId="0" fontId="23" fillId="0" borderId="1" xfId="0" applyFont="1" applyBorder="1" applyAlignment="1">
      <alignment horizontal="center" vertical="center" wrapText="1"/>
    </xf>
    <xf numFmtId="4" fontId="23" fillId="0" borderId="1" xfId="0" applyNumberFormat="1" applyFont="1" applyBorder="1" applyAlignment="1">
      <alignment horizontal="center" vertical="center" wrapText="1"/>
    </xf>
    <xf numFmtId="4" fontId="22" fillId="0" borderId="1" xfId="0" applyNumberFormat="1" applyFont="1" applyBorder="1" applyAlignment="1">
      <alignment horizontal="center" vertical="center" wrapText="1"/>
    </xf>
    <xf numFmtId="2" fontId="22" fillId="0" borderId="1" xfId="0" applyNumberFormat="1" applyFont="1" applyBorder="1" applyAlignment="1">
      <alignment horizontal="center" vertical="center" wrapText="1"/>
    </xf>
    <xf numFmtId="171" fontId="22" fillId="0" borderId="1" xfId="0" applyNumberFormat="1" applyFont="1" applyBorder="1" applyAlignment="1">
      <alignment horizontal="center" vertical="center" wrapText="1"/>
    </xf>
    <xf numFmtId="3" fontId="22" fillId="0" borderId="1" xfId="0" applyNumberFormat="1" applyFont="1" applyBorder="1" applyAlignment="1">
      <alignment horizontal="center" vertical="center" wrapText="1"/>
    </xf>
    <xf numFmtId="0" fontId="24" fillId="6" borderId="1" xfId="0" applyFont="1" applyFill="1" applyBorder="1" applyAlignment="1">
      <alignment horizontal="left"/>
    </xf>
    <xf numFmtId="0" fontId="0" fillId="6" borderId="1" xfId="0" applyFill="1" applyBorder="1" applyAlignment="1">
      <alignment horizontal="center" vertical="center" wrapText="1"/>
    </xf>
    <xf numFmtId="0" fontId="24" fillId="6" borderId="1" xfId="0" applyFont="1" applyFill="1" applyBorder="1" applyAlignment="1">
      <alignment horizontal="center" vertical="center" wrapText="1"/>
    </xf>
    <xf numFmtId="4" fontId="24" fillId="6" borderId="1" xfId="0" applyNumberFormat="1" applyFont="1" applyFill="1" applyBorder="1" applyAlignment="1">
      <alignment horizontal="center" vertical="center" wrapText="1"/>
    </xf>
    <xf numFmtId="2" fontId="24" fillId="6" borderId="1" xfId="0" applyNumberFormat="1" applyFont="1" applyFill="1" applyBorder="1" applyAlignment="1">
      <alignment horizontal="center" vertical="center" wrapText="1"/>
    </xf>
    <xf numFmtId="171" fontId="24" fillId="6" borderId="1" xfId="0" applyNumberFormat="1" applyFont="1" applyFill="1" applyBorder="1" applyAlignment="1">
      <alignment horizontal="center" vertical="center" wrapText="1"/>
    </xf>
    <xf numFmtId="0" fontId="24" fillId="6" borderId="0" xfId="0" applyFont="1" applyFill="1" applyAlignment="1">
      <alignment horizontal="left"/>
    </xf>
    <xf numFmtId="0" fontId="0" fillId="6" borderId="0" xfId="0" applyFill="1" applyAlignment="1">
      <alignment horizontal="center" vertical="center" wrapText="1"/>
    </xf>
    <xf numFmtId="0" fontId="24" fillId="6" borderId="0" xfId="0" applyFont="1" applyFill="1" applyAlignment="1">
      <alignment horizontal="center" vertical="center" wrapText="1"/>
    </xf>
    <xf numFmtId="4" fontId="24" fillId="6" borderId="0" xfId="0" applyNumberFormat="1" applyFont="1" applyFill="1" applyAlignment="1">
      <alignment horizontal="center" vertical="center" wrapText="1"/>
    </xf>
    <xf numFmtId="0" fontId="25" fillId="0" borderId="0" xfId="0" applyFont="1"/>
    <xf numFmtId="0" fontId="26" fillId="0" borderId="0" xfId="0" applyFont="1"/>
    <xf numFmtId="0" fontId="27" fillId="0" borderId="1" xfId="0" applyFont="1" applyBorder="1" applyAlignment="1">
      <alignment horizontal="center" vertical="center" wrapText="1"/>
    </xf>
    <xf numFmtId="0" fontId="28" fillId="0" borderId="0" xfId="0" applyFont="1" applyAlignment="1">
      <alignment vertical="center"/>
    </xf>
    <xf numFmtId="0" fontId="2" fillId="0" borderId="13" xfId="0" applyFont="1" applyBorder="1" applyAlignment="1">
      <alignment horizontal="center" vertical="center" wrapText="1"/>
    </xf>
    <xf numFmtId="0" fontId="2" fillId="0" borderId="13" xfId="0" applyFont="1" applyBorder="1" applyAlignment="1">
      <alignment vertical="center" wrapText="1"/>
    </xf>
    <xf numFmtId="0" fontId="0" fillId="0" borderId="13" xfId="0" applyBorder="1" applyAlignment="1">
      <alignment vertical="center" wrapText="1"/>
    </xf>
    <xf numFmtId="0" fontId="9" fillId="0" borderId="0" xfId="0" applyFont="1" applyAlignment="1">
      <alignment horizontal="left" vertical="center" wrapText="1"/>
    </xf>
    <xf numFmtId="0" fontId="29" fillId="0" borderId="0" xfId="0" applyFont="1" applyAlignment="1">
      <alignment vertical="center"/>
    </xf>
    <xf numFmtId="9" fontId="0" fillId="0" borderId="13" xfId="0" applyNumberFormat="1" applyBorder="1" applyAlignment="1">
      <alignment vertical="center" wrapText="1"/>
    </xf>
    <xf numFmtId="0" fontId="2" fillId="0" borderId="0" xfId="0" applyFont="1"/>
    <xf numFmtId="0" fontId="30" fillId="0" borderId="0" xfId="0" applyFont="1" applyAlignment="1">
      <alignment horizontal="center"/>
    </xf>
    <xf numFmtId="1" fontId="30" fillId="0" borderId="0" xfId="0" applyNumberFormat="1" applyFont="1" applyAlignment="1">
      <alignment horizontal="center"/>
    </xf>
    <xf numFmtId="0" fontId="31" fillId="0" borderId="0" xfId="0" applyFont="1"/>
    <xf numFmtId="0" fontId="0" fillId="0" borderId="0" xfId="0" applyAlignment="1">
      <alignment vertical="center" readingOrder="1"/>
    </xf>
    <xf numFmtId="0" fontId="32" fillId="0" borderId="0" xfId="0" applyFont="1" applyAlignment="1">
      <alignment vertical="center" readingOrder="1"/>
    </xf>
    <xf numFmtId="0" fontId="33" fillId="0" borderId="0" xfId="0" applyFont="1" applyAlignment="1">
      <alignment vertical="center" readingOrder="1"/>
    </xf>
    <xf numFmtId="0" fontId="34" fillId="0" borderId="0" xfId="0" applyFont="1" applyAlignment="1">
      <alignment vertical="center"/>
    </xf>
    <xf numFmtId="0" fontId="36" fillId="0" borderId="0" xfId="0" applyFont="1" applyAlignment="1">
      <alignment vertical="center"/>
    </xf>
    <xf numFmtId="0" fontId="0" fillId="0" borderId="0" xfId="0" applyAlignment="1">
      <alignment horizontal="left" vertical="center" indent="1"/>
    </xf>
    <xf numFmtId="0" fontId="35" fillId="0" borderId="0" xfId="0" applyFont="1" applyAlignment="1">
      <alignment horizontal="left" vertical="center" indent="1"/>
    </xf>
    <xf numFmtId="0" fontId="34" fillId="0" borderId="0" xfId="0" applyFont="1" applyAlignment="1">
      <alignment horizontal="left" vertical="center" indent="1"/>
    </xf>
    <xf numFmtId="0" fontId="37" fillId="0" borderId="0" xfId="0" applyFont="1" applyAlignment="1">
      <alignment horizontal="left" vertical="center" indent="2"/>
    </xf>
    <xf numFmtId="0" fontId="0" fillId="0" borderId="0" xfId="0" applyAlignment="1">
      <alignment horizontal="left" vertical="center" indent="2"/>
    </xf>
    <xf numFmtId="0" fontId="38" fillId="0" borderId="0" xfId="0" applyFont="1"/>
    <xf numFmtId="0" fontId="39" fillId="0" borderId="0" xfId="1" applyAlignment="1">
      <alignment vertical="center" readingOrder="1"/>
    </xf>
    <xf numFmtId="0" fontId="40" fillId="0" borderId="0" xfId="0" applyFont="1" applyAlignment="1">
      <alignment vertical="center"/>
    </xf>
    <xf numFmtId="0" fontId="2" fillId="0" borderId="0" xfId="0" applyFont="1" applyAlignment="1">
      <alignment horizontal="left" vertical="center" indent="2"/>
    </xf>
    <xf numFmtId="0" fontId="0" fillId="0" borderId="0" xfId="0" applyAlignment="1">
      <alignment horizontal="left" vertical="center" wrapText="1"/>
    </xf>
    <xf numFmtId="0" fontId="0" fillId="0" borderId="0" xfId="0" applyAlignment="1">
      <alignment wrapText="1"/>
    </xf>
    <xf numFmtId="0" fontId="41" fillId="0" borderId="0" xfId="0" applyFont="1" applyAlignment="1">
      <alignment vertical="center" readingOrder="1"/>
    </xf>
    <xf numFmtId="0" fontId="32" fillId="0" borderId="0" xfId="0" applyFont="1" applyAlignment="1">
      <alignment horizontal="left" vertical="center" indent="1" readingOrder="1"/>
    </xf>
    <xf numFmtId="0" fontId="0" fillId="0" borderId="0" xfId="0" applyAlignment="1">
      <alignment horizontal="right" vertical="center" indent="1" readingOrder="1"/>
    </xf>
    <xf numFmtId="0" fontId="33" fillId="0" borderId="0" xfId="0" applyFont="1" applyAlignment="1">
      <alignment horizontal="right" vertical="center" indent="1" readingOrder="1"/>
    </xf>
    <xf numFmtId="0" fontId="33" fillId="0" borderId="0" xfId="0" applyFont="1" applyAlignment="1">
      <alignment horizontal="left" vertical="center" indent="2" readingOrder="1"/>
    </xf>
    <xf numFmtId="0" fontId="32" fillId="8" borderId="0" xfId="0" applyFont="1" applyFill="1" applyAlignment="1">
      <alignment horizontal="left" vertical="center" indent="1" readingOrder="1"/>
    </xf>
    <xf numFmtId="0" fontId="0" fillId="8" borderId="0" xfId="0" applyFill="1"/>
    <xf numFmtId="1" fontId="0" fillId="0" borderId="2" xfId="0" applyNumberFormat="1" applyBorder="1" applyAlignment="1">
      <alignment horizontal="center" vertical="center"/>
    </xf>
    <xf numFmtId="172" fontId="0" fillId="0" borderId="0" xfId="0" applyNumberFormat="1" applyAlignment="1">
      <alignment horizontal="center" vertical="center"/>
    </xf>
    <xf numFmtId="14" fontId="0" fillId="0" borderId="0" xfId="0" quotePrefix="1" applyNumberFormat="1" applyAlignment="1">
      <alignment horizontal="center"/>
    </xf>
    <xf numFmtId="0" fontId="0" fillId="0" borderId="0" xfId="0" quotePrefix="1" applyAlignment="1">
      <alignment horizontal="center"/>
    </xf>
    <xf numFmtId="164" fontId="0" fillId="0" borderId="0" xfId="0" applyNumberFormat="1" applyAlignment="1">
      <alignment horizontal="center"/>
    </xf>
    <xf numFmtId="164" fontId="0" fillId="0" borderId="9" xfId="0" applyNumberFormat="1" applyBorder="1" applyAlignment="1">
      <alignment horizontal="center"/>
    </xf>
    <xf numFmtId="0" fontId="43" fillId="0" borderId="0" xfId="0" applyFont="1"/>
    <xf numFmtId="0" fontId="43" fillId="0" borderId="0" xfId="0" applyFont="1" applyAlignment="1">
      <alignment vertical="center"/>
    </xf>
    <xf numFmtId="0" fontId="43" fillId="0" borderId="0" xfId="0" applyFont="1" applyAlignment="1">
      <alignment horizontal="center"/>
    </xf>
    <xf numFmtId="14" fontId="43" fillId="0" borderId="0" xfId="0" quotePrefix="1" applyNumberFormat="1" applyFont="1" applyAlignment="1">
      <alignment horizontal="center"/>
    </xf>
    <xf numFmtId="0" fontId="43" fillId="0" borderId="0" xfId="0" applyFont="1" applyAlignment="1">
      <alignment horizontal="center" vertical="center"/>
    </xf>
    <xf numFmtId="14" fontId="0" fillId="0" borderId="8" xfId="0" quotePrefix="1" applyNumberFormat="1" applyBorder="1" applyAlignment="1">
      <alignment horizontal="center"/>
    </xf>
    <xf numFmtId="9" fontId="44" fillId="0" borderId="0" xfId="0" applyNumberFormat="1" applyFont="1" applyAlignment="1">
      <alignment horizontal="center" vertical="center"/>
    </xf>
    <xf numFmtId="0" fontId="0" fillId="0" borderId="9" xfId="0" applyBorder="1"/>
    <xf numFmtId="0" fontId="0" fillId="0" borderId="6" xfId="0" applyBorder="1" applyAlignment="1">
      <alignment horizontal="center"/>
    </xf>
    <xf numFmtId="0" fontId="17" fillId="0" borderId="0" xfId="0" applyFont="1" applyAlignment="1">
      <alignment horizontal="left" vertical="center" wrapText="1"/>
    </xf>
    <xf numFmtId="0" fontId="18" fillId="0" borderId="0" xfId="0" applyFont="1" applyAlignment="1">
      <alignment horizontal="left" vertical="center" wrapText="1"/>
    </xf>
    <xf numFmtId="0" fontId="11" fillId="5" borderId="1" xfId="0" applyFont="1" applyFill="1" applyBorder="1" applyAlignment="1">
      <alignment horizontal="left" vertical="center" wrapText="1"/>
    </xf>
    <xf numFmtId="165" fontId="14" fillId="0" borderId="1" xfId="0" applyNumberFormat="1" applyFont="1" applyBorder="1" applyAlignment="1">
      <alignment horizontal="center" vertical="center" wrapText="1"/>
    </xf>
    <xf numFmtId="0" fontId="15" fillId="0" borderId="1" xfId="0" applyFont="1" applyBorder="1" applyAlignment="1">
      <alignment horizontal="center" vertical="center" wrapText="1"/>
    </xf>
    <xf numFmtId="0" fontId="14" fillId="0" borderId="1" xfId="0" applyFont="1" applyBorder="1" applyAlignment="1">
      <alignment horizontal="center" vertical="center" wrapText="1"/>
    </xf>
  </cellXfs>
  <cellStyles count="2">
    <cellStyle name="Hipervínculo" xfId="1" builtinId="8"/>
    <cellStyle name="Normal" xfId="0" builtinId="0"/>
  </cellStyles>
  <dxfs count="3">
    <dxf>
      <fill>
        <patternFill>
          <bgColor rgb="FFFBE5D6"/>
        </patternFill>
      </fill>
    </dxf>
    <dxf>
      <fill>
        <patternFill>
          <bgColor rgb="FFE7E6E6"/>
        </patternFill>
      </fill>
    </dxf>
    <dxf>
      <fill>
        <patternFill>
          <bgColor rgb="FFFFF2CC"/>
        </patternFill>
      </fill>
    </dxf>
  </dxfs>
  <tableStyles count="0" defaultTableStyle="TableStyleMedium2" defaultPivotStyle="PivotStyleLight16"/>
  <colors>
    <indexedColors>
      <rgbColor rgb="FF000000"/>
      <rgbColor rgb="FFFFFFFF"/>
      <rgbColor rgb="FFC00000"/>
      <rgbColor rgb="FF00FF00"/>
      <rgbColor rgb="FF0000FF"/>
      <rgbColor rgb="FFFFFF00"/>
      <rgbColor rgb="FFFF00FF"/>
      <rgbColor rgb="FF00FFFF"/>
      <rgbColor rgb="FF800000"/>
      <rgbColor rgb="FF008000"/>
      <rgbColor rgb="FF000080"/>
      <rgbColor rgb="FF7F6000"/>
      <rgbColor rgb="FF800080"/>
      <rgbColor rgb="FF008080"/>
      <rgbColor rgb="FFBFBFBF"/>
      <rgbColor rgb="FF808080"/>
      <rgbColor rgb="FF9999FF"/>
      <rgbColor rgb="FF993366"/>
      <rgbColor rgb="FFFFF2CC"/>
      <rgbColor rgb="FFF2F2F2"/>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E7E6E6"/>
      <rgbColor rgb="FFD9E1E2"/>
      <rgbColor rgb="FFFFFF99"/>
      <rgbColor rgb="FF99CCFF"/>
      <rgbColor rgb="FFFF99CC"/>
      <rgbColor rgb="FFCC99FF"/>
      <rgbColor rgb="FFFBE5D6"/>
      <rgbColor rgb="FF3366FF"/>
      <rgbColor rgb="FF33CCCC"/>
      <rgbColor rgb="FF99CC00"/>
      <rgbColor rgb="FFFFC000"/>
      <rgbColor rgb="FFFF9900"/>
      <rgbColor rgb="FFFF6600"/>
      <rgbColor rgb="FF595959"/>
      <rgbColor rgb="FFB3B3B3"/>
      <rgbColor rgb="FF1F4E5F"/>
      <rgbColor rgb="FF70AD47"/>
      <rgbColor rgb="FF003300"/>
      <rgbColor rgb="FF333300"/>
      <rgbColor rgb="FF993300"/>
      <rgbColor rgb="FF993366"/>
      <rgbColor rgb="FF1F4E78"/>
      <rgbColor rgb="FF37562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c:style val="2"/>
  <c:chart>
    <c:title>
      <c:tx>
        <c:rich>
          <a:bodyPr rot="0"/>
          <a:lstStyle/>
          <a:p>
            <a:pPr>
              <a:defRPr sz="1800" b="1" strike="noStrike" spc="-1">
                <a:solidFill>
                  <a:srgbClr val="000000"/>
                </a:solidFill>
                <a:latin typeface="Calibri"/>
              </a:defRPr>
            </a:pPr>
            <a:r>
              <a:rPr lang="en-US" sz="1800" b="1" strike="noStrike" spc="-1">
                <a:solidFill>
                  <a:srgbClr val="000000"/>
                </a:solidFill>
                <a:latin typeface="Calibri"/>
              </a:rPr>
              <a:t>Ahorro Anual Estimado por Producto (USD) — por Reducción de Infiltración de Aire</a:t>
            </a:r>
          </a:p>
        </c:rich>
      </c:tx>
      <c:overlay val="0"/>
      <c:spPr>
        <a:noFill/>
        <a:ln w="0">
          <a:noFill/>
        </a:ln>
      </c:spPr>
    </c:title>
    <c:autoTitleDeleted val="0"/>
    <c:plotArea>
      <c:layout/>
      <c:barChart>
        <c:barDir val="col"/>
        <c:grouping val="clustered"/>
        <c:varyColors val="0"/>
        <c:ser>
          <c:idx val="0"/>
          <c:order val="0"/>
          <c:tx>
            <c:strRef>
              <c:f>'Caso de Negocio '!$G$20</c:f>
              <c:strCache>
                <c:ptCount val="1"/>
                <c:pt idx="0">
                  <c:v>Ahorro Mínimo (5% del costo es aire)</c:v>
                </c:pt>
              </c:strCache>
            </c:strRef>
          </c:tx>
          <c:spPr>
            <a:solidFill>
              <a:srgbClr val="FFC000"/>
            </a:solidFill>
            <a:ln w="0">
              <a:solidFill>
                <a:srgbClr val="000000"/>
              </a:solidFill>
            </a:ln>
          </c:spPr>
          <c:invertIfNegative val="0"/>
          <c:dLbls>
            <c:spPr>
              <a:noFill/>
              <a:ln>
                <a:noFill/>
              </a:ln>
              <a:effectLst/>
            </c:spPr>
            <c:txPr>
              <a:bodyPr wrap="square"/>
              <a:lstStyle/>
              <a:p>
                <a:pPr>
                  <a:defRPr sz="1000" b="0" strike="noStrike" spc="-1">
                    <a:solidFill>
                      <a:srgbClr val="000000"/>
                    </a:solidFill>
                    <a:latin typeface="Arial"/>
                  </a:defRPr>
                </a:pPr>
                <a:endParaRPr lang="en-US"/>
              </a:p>
            </c:txPr>
            <c:dLblPos val="outEnd"/>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cat>
            <c:strRef>
              <c:f>'Caso de Negocio '!$A$21:$A$24</c:f>
              <c:strCache>
                <c:ptCount val="4"/>
                <c:pt idx="0">
                  <c:v>GRANEL A</c:v>
                </c:pt>
                <c:pt idx="1">
                  <c:v>GRANEL B</c:v>
                </c:pt>
                <c:pt idx="2">
                  <c:v>TENTACIONES_1</c:v>
                </c:pt>
                <c:pt idx="3">
                  <c:v>TENTACIONES_2</c:v>
                </c:pt>
              </c:strCache>
            </c:strRef>
          </c:cat>
          <c:val>
            <c:numRef>
              <c:f>'Caso de Negocio '!$G$21:$G$24</c:f>
              <c:numCache>
                <c:formatCode>#,##0.00</c:formatCode>
                <c:ptCount val="4"/>
                <c:pt idx="0">
                  <c:v>323.71211006390831</c:v>
                </c:pt>
                <c:pt idx="1">
                  <c:v>222.2926430684974</c:v>
                </c:pt>
                <c:pt idx="2">
                  <c:v>47.862950827630023</c:v>
                </c:pt>
                <c:pt idx="3">
                  <c:v>60.481246672044087</c:v>
                </c:pt>
              </c:numCache>
            </c:numRef>
          </c:val>
          <c:extLst>
            <c:ext xmlns:c16="http://schemas.microsoft.com/office/drawing/2014/chart" uri="{C3380CC4-5D6E-409C-BE32-E72D297353CC}">
              <c16:uniqueId val="{00000000-B953-422C-B1B6-DE5A5A824221}"/>
            </c:ext>
          </c:extLst>
        </c:ser>
        <c:ser>
          <c:idx val="1"/>
          <c:order val="1"/>
          <c:tx>
            <c:strRef>
              <c:f>'Caso de Negocio '!$H$20</c:f>
              <c:strCache>
                <c:ptCount val="1"/>
                <c:pt idx="0">
                  <c:v>Ahorro Máximo (10% del costo es aire)</c:v>
                </c:pt>
              </c:strCache>
            </c:strRef>
          </c:tx>
          <c:spPr>
            <a:solidFill>
              <a:srgbClr val="C00000"/>
            </a:solidFill>
            <a:ln w="0">
              <a:solidFill>
                <a:srgbClr val="000000"/>
              </a:solidFill>
            </a:ln>
          </c:spPr>
          <c:invertIfNegative val="0"/>
          <c:dLbls>
            <c:spPr>
              <a:noFill/>
              <a:ln>
                <a:noFill/>
              </a:ln>
              <a:effectLst/>
            </c:spPr>
            <c:txPr>
              <a:bodyPr wrap="square"/>
              <a:lstStyle/>
              <a:p>
                <a:pPr>
                  <a:defRPr sz="1000" b="0" strike="noStrike" spc="-1">
                    <a:solidFill>
                      <a:srgbClr val="000000"/>
                    </a:solidFill>
                    <a:latin typeface="Arial"/>
                  </a:defRPr>
                </a:pPr>
                <a:endParaRPr lang="en-US"/>
              </a:p>
            </c:txPr>
            <c:dLblPos val="outEnd"/>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cat>
            <c:strRef>
              <c:f>'Caso de Negocio '!$A$21:$A$24</c:f>
              <c:strCache>
                <c:ptCount val="4"/>
                <c:pt idx="0">
                  <c:v>GRANEL A</c:v>
                </c:pt>
                <c:pt idx="1">
                  <c:v>GRANEL B</c:v>
                </c:pt>
                <c:pt idx="2">
                  <c:v>TENTACIONES_1</c:v>
                </c:pt>
                <c:pt idx="3">
                  <c:v>TENTACIONES_2</c:v>
                </c:pt>
              </c:strCache>
            </c:strRef>
          </c:cat>
          <c:val>
            <c:numRef>
              <c:f>'Caso de Negocio '!$H$21:$H$24</c:f>
              <c:numCache>
                <c:formatCode>#,##0.00</c:formatCode>
                <c:ptCount val="4"/>
                <c:pt idx="0">
                  <c:v>485.56816509586235</c:v>
                </c:pt>
                <c:pt idx="1">
                  <c:v>333.43896460274613</c:v>
                </c:pt>
                <c:pt idx="2">
                  <c:v>71.794426241445024</c:v>
                </c:pt>
                <c:pt idx="3">
                  <c:v>90.721870008066119</c:v>
                </c:pt>
              </c:numCache>
            </c:numRef>
          </c:val>
          <c:extLst>
            <c:ext xmlns:c16="http://schemas.microsoft.com/office/drawing/2014/chart" uri="{C3380CC4-5D6E-409C-BE32-E72D297353CC}">
              <c16:uniqueId val="{00000001-B953-422C-B1B6-DE5A5A824221}"/>
            </c:ext>
          </c:extLst>
        </c:ser>
        <c:dLbls>
          <c:showLegendKey val="0"/>
          <c:showVal val="0"/>
          <c:showCatName val="0"/>
          <c:showSerName val="0"/>
          <c:showPercent val="0"/>
          <c:showBubbleSize val="0"/>
        </c:dLbls>
        <c:gapWidth val="150"/>
        <c:axId val="33286969"/>
        <c:axId val="54712397"/>
      </c:barChart>
      <c:catAx>
        <c:axId val="33286969"/>
        <c:scaling>
          <c:orientation val="minMax"/>
        </c:scaling>
        <c:delete val="0"/>
        <c:axPos val="b"/>
        <c:title>
          <c:tx>
            <c:rich>
              <a:bodyPr rot="0"/>
              <a:lstStyle/>
              <a:p>
                <a:pPr>
                  <a:defRPr sz="1000" b="1" strike="noStrike" spc="-1">
                    <a:solidFill>
                      <a:srgbClr val="000000"/>
                    </a:solidFill>
                    <a:latin typeface="Calibri"/>
                  </a:defRPr>
                </a:pPr>
                <a:r>
                  <a:rPr lang="en-US" sz="1000" b="1" strike="noStrike" spc="-1">
                    <a:solidFill>
                      <a:srgbClr val="000000"/>
                    </a:solidFill>
                    <a:latin typeface="Calibri"/>
                  </a:rPr>
                  <a:t>Producto</a:t>
                </a:r>
              </a:p>
            </c:rich>
          </c:tx>
          <c:overlay val="0"/>
          <c:spPr>
            <a:noFill/>
            <a:ln w="0">
              <a:noFill/>
            </a:ln>
          </c:spPr>
        </c:title>
        <c:numFmt formatCode="General" sourceLinked="0"/>
        <c:majorTickMark val="none"/>
        <c:minorTickMark val="none"/>
        <c:tickLblPos val="nextTo"/>
        <c:spPr>
          <a:ln w="0">
            <a:solidFill>
              <a:srgbClr val="B3B3B3"/>
            </a:solidFill>
          </a:ln>
        </c:spPr>
        <c:txPr>
          <a:bodyPr/>
          <a:lstStyle/>
          <a:p>
            <a:pPr>
              <a:defRPr sz="1000" b="0" strike="noStrike" spc="-1">
                <a:solidFill>
                  <a:srgbClr val="000000"/>
                </a:solidFill>
                <a:latin typeface="Calibri"/>
              </a:defRPr>
            </a:pPr>
            <a:endParaRPr lang="en-US"/>
          </a:p>
        </c:txPr>
        <c:crossAx val="54712397"/>
        <c:crosses val="autoZero"/>
        <c:auto val="1"/>
        <c:lblAlgn val="ctr"/>
        <c:lblOffset val="100"/>
        <c:noMultiLvlLbl val="0"/>
      </c:catAx>
      <c:valAx>
        <c:axId val="54712397"/>
        <c:scaling>
          <c:orientation val="minMax"/>
        </c:scaling>
        <c:delete val="0"/>
        <c:axPos val="l"/>
        <c:majorGridlines>
          <c:spPr>
            <a:ln w="0">
              <a:solidFill>
                <a:srgbClr val="B3B3B3"/>
              </a:solidFill>
            </a:ln>
          </c:spPr>
        </c:majorGridlines>
        <c:title>
          <c:tx>
            <c:rich>
              <a:bodyPr rot="-5400000"/>
              <a:lstStyle/>
              <a:p>
                <a:pPr>
                  <a:defRPr sz="1000" b="1" strike="noStrike" spc="-1">
                    <a:solidFill>
                      <a:srgbClr val="000000"/>
                    </a:solidFill>
                    <a:latin typeface="Calibri"/>
                  </a:defRPr>
                </a:pPr>
                <a:r>
                  <a:rPr lang="en-US" sz="1000" b="1" strike="noStrike" spc="-1">
                    <a:solidFill>
                      <a:srgbClr val="000000"/>
                    </a:solidFill>
                    <a:latin typeface="Calibri"/>
                  </a:rPr>
                  <a:t>USD/año</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strike="noStrike" spc="-1">
                <a:solidFill>
                  <a:srgbClr val="000000"/>
                </a:solidFill>
                <a:latin typeface="Calibri"/>
              </a:defRPr>
            </a:pPr>
            <a:endParaRPr lang="en-US"/>
          </a:p>
        </c:txPr>
        <c:crossAx val="33286969"/>
        <c:crosses val="autoZero"/>
        <c:crossBetween val="between"/>
      </c:valAx>
      <c:spPr>
        <a:noFill/>
        <a:ln w="0">
          <a:noFill/>
        </a:ln>
      </c:spPr>
    </c:plotArea>
    <c:legend>
      <c:legendPos val="r"/>
      <c:overlay val="0"/>
      <c:spPr>
        <a:noFill/>
        <a:ln w="0">
          <a:noFill/>
        </a:ln>
      </c:spPr>
      <c:txPr>
        <a:bodyPr/>
        <a:lstStyle/>
        <a:p>
          <a:pPr>
            <a:defRPr sz="1000" b="0" strike="noStrike" spc="-1">
              <a:solidFill>
                <a:srgbClr val="000000"/>
              </a:solidFill>
              <a:latin typeface="Calibri"/>
            </a:defRPr>
          </a:pPr>
          <a:endParaRPr lang="en-US"/>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2" Type="http://schemas.openxmlformats.org/officeDocument/2006/relationships/image" Target="../media/image4.png"/><Relationship Id="rId1" Type="http://schemas.openxmlformats.org/officeDocument/2006/relationships/image" Target="../media/image3.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42</xdr:row>
      <xdr:rowOff>0</xdr:rowOff>
    </xdr:from>
    <xdr:to>
      <xdr:col>6</xdr:col>
      <xdr:colOff>744480</xdr:colOff>
      <xdr:row>67</xdr:row>
      <xdr:rowOff>82550</xdr:rowOff>
    </xdr:to>
    <xdr:graphicFrame macro="">
      <xdr:nvGraphicFramePr>
        <xdr:cNvPr id="2" name="Chart 1">
          <a:extLst>
            <a:ext uri="{FF2B5EF4-FFF2-40B4-BE49-F238E27FC236}">
              <a16:creationId xmlns:a16="http://schemas.microsoft.com/office/drawing/2014/main" id="{00000000-0008-0000-02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82550</xdr:colOff>
      <xdr:row>2</xdr:row>
      <xdr:rowOff>6350</xdr:rowOff>
    </xdr:from>
    <xdr:to>
      <xdr:col>1</xdr:col>
      <xdr:colOff>6305550</xdr:colOff>
      <xdr:row>18</xdr:row>
      <xdr:rowOff>431800</xdr:rowOff>
    </xdr:to>
    <xdr:pic>
      <xdr:nvPicPr>
        <xdr:cNvPr id="2" name="Image 1" descr="Picture">
          <a:extLst>
            <a:ext uri="{FF2B5EF4-FFF2-40B4-BE49-F238E27FC236}">
              <a16:creationId xmlns:a16="http://schemas.microsoft.com/office/drawing/2014/main" id="{6D72A349-9602-4636-8063-B8E8C20D53D8}"/>
            </a:ext>
          </a:extLst>
        </xdr:cNvPr>
        <xdr:cNvPicPr/>
      </xdr:nvPicPr>
      <xdr:blipFill>
        <a:blip xmlns:r="http://schemas.openxmlformats.org/officeDocument/2006/relationships" r:embed="rId1"/>
        <a:stretch/>
      </xdr:blipFill>
      <xdr:spPr>
        <a:xfrm>
          <a:off x="82550" y="368300"/>
          <a:ext cx="6965950" cy="3371850"/>
        </a:xfrm>
        <a:prstGeom prst="rect">
          <a:avLst/>
        </a:prstGeom>
        <a:ln w="0">
          <a:noFill/>
        </a:ln>
      </xdr:spPr>
    </xdr:pic>
    <xdr:clientData/>
  </xdr:twoCellAnchor>
  <xdr:twoCellAnchor editAs="oneCell">
    <xdr:from>
      <xdr:col>2</xdr:col>
      <xdr:colOff>0</xdr:colOff>
      <xdr:row>2</xdr:row>
      <xdr:rowOff>0</xdr:rowOff>
    </xdr:from>
    <xdr:to>
      <xdr:col>5</xdr:col>
      <xdr:colOff>252700</xdr:colOff>
      <xdr:row>18</xdr:row>
      <xdr:rowOff>1117600</xdr:rowOff>
    </xdr:to>
    <xdr:pic>
      <xdr:nvPicPr>
        <xdr:cNvPr id="5" name="Image 2" descr="Picture">
          <a:extLst>
            <a:ext uri="{FF2B5EF4-FFF2-40B4-BE49-F238E27FC236}">
              <a16:creationId xmlns:a16="http://schemas.microsoft.com/office/drawing/2014/main" id="{5460BC39-6847-4228-BF93-3F9B7DA77402}"/>
            </a:ext>
          </a:extLst>
        </xdr:cNvPr>
        <xdr:cNvPicPr/>
      </xdr:nvPicPr>
      <xdr:blipFill>
        <a:blip xmlns:r="http://schemas.openxmlformats.org/officeDocument/2006/relationships" r:embed="rId2"/>
        <a:stretch/>
      </xdr:blipFill>
      <xdr:spPr>
        <a:xfrm>
          <a:off x="7188200" y="361950"/>
          <a:ext cx="7415500" cy="4064000"/>
        </a:xfrm>
        <a:prstGeom prst="rect">
          <a:avLst/>
        </a:prstGeom>
        <a:ln w="0">
          <a:noFill/>
        </a:ln>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1</xdr:col>
      <xdr:colOff>0</xdr:colOff>
      <xdr:row>10</xdr:row>
      <xdr:rowOff>0</xdr:rowOff>
    </xdr:from>
    <xdr:to>
      <xdr:col>9</xdr:col>
      <xdr:colOff>216224</xdr:colOff>
      <xdr:row>33</xdr:row>
      <xdr:rowOff>89122</xdr:rowOff>
    </xdr:to>
    <xdr:pic>
      <xdr:nvPicPr>
        <xdr:cNvPr id="2" name="Imagen 1">
          <a:extLst>
            <a:ext uri="{FF2B5EF4-FFF2-40B4-BE49-F238E27FC236}">
              <a16:creationId xmlns:a16="http://schemas.microsoft.com/office/drawing/2014/main" id="{15E76151-FB4B-4305-805B-5D1DCE92B80B}"/>
            </a:ext>
          </a:extLst>
        </xdr:cNvPr>
        <xdr:cNvPicPr>
          <a:picLocks noChangeAspect="1"/>
        </xdr:cNvPicPr>
      </xdr:nvPicPr>
      <xdr:blipFill>
        <a:blip xmlns:r="http://schemas.openxmlformats.org/officeDocument/2006/relationships" r:embed="rId1"/>
        <a:stretch>
          <a:fillRect/>
        </a:stretch>
      </xdr:blipFill>
      <xdr:spPr>
        <a:xfrm>
          <a:off x="7118350" y="1841500"/>
          <a:ext cx="6312224" cy="4324572"/>
        </a:xfrm>
        <a:prstGeom prst="rect">
          <a:avLst/>
        </a:prstGeom>
      </xdr:spPr>
    </xdr:pic>
    <xdr:clientData/>
  </xdr:twoCellAnchor>
  <xdr:twoCellAnchor editAs="oneCell">
    <xdr:from>
      <xdr:col>1</xdr:col>
      <xdr:colOff>0</xdr:colOff>
      <xdr:row>105</xdr:row>
      <xdr:rowOff>0</xdr:rowOff>
    </xdr:from>
    <xdr:to>
      <xdr:col>10</xdr:col>
      <xdr:colOff>260350</xdr:colOff>
      <xdr:row>129</xdr:row>
      <xdr:rowOff>158985</xdr:rowOff>
    </xdr:to>
    <xdr:pic>
      <xdr:nvPicPr>
        <xdr:cNvPr id="3" name="Imagen 2">
          <a:extLst>
            <a:ext uri="{FF2B5EF4-FFF2-40B4-BE49-F238E27FC236}">
              <a16:creationId xmlns:a16="http://schemas.microsoft.com/office/drawing/2014/main" id="{6A6C1C2B-B981-3188-518F-69A519913CE3}"/>
            </a:ext>
          </a:extLst>
        </xdr:cNvPr>
        <xdr:cNvPicPr>
          <a:picLocks noChangeAspect="1"/>
        </xdr:cNvPicPr>
      </xdr:nvPicPr>
      <xdr:blipFill>
        <a:blip xmlns:r="http://schemas.openxmlformats.org/officeDocument/2006/relationships" r:embed="rId2"/>
        <a:stretch>
          <a:fillRect/>
        </a:stretch>
      </xdr:blipFill>
      <xdr:spPr>
        <a:xfrm>
          <a:off x="7118350" y="19488150"/>
          <a:ext cx="7118350" cy="4578585"/>
        </a:xfrm>
        <a:prstGeom prst="rect">
          <a:avLst/>
        </a:prstGeom>
      </xdr:spPr>
    </xdr:pic>
    <xdr:clientData/>
  </xdr:twoCellAnchor>
</xdr:wsDr>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4.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Q1048576"/>
  <sheetViews>
    <sheetView tabSelected="1" topLeftCell="AK1" zoomScale="101" zoomScaleNormal="101" workbookViewId="0">
      <selection activeCell="AQ1" sqref="AQ1"/>
    </sheetView>
  </sheetViews>
  <sheetFormatPr baseColWidth="10" defaultColWidth="8.7265625" defaultRowHeight="14.5" x14ac:dyDescent="0.35"/>
  <cols>
    <col min="1" max="1" width="12.453125" bestFit="1" customWidth="1"/>
    <col min="2" max="2" width="12.453125" style="1" customWidth="1"/>
    <col min="3" max="3" width="12.453125" customWidth="1"/>
    <col min="4" max="4" width="37.90625" customWidth="1"/>
    <col min="5" max="5" width="20.7265625" customWidth="1"/>
    <col min="6" max="6" width="13.1796875" customWidth="1"/>
    <col min="7" max="7" width="48.90625" customWidth="1"/>
    <col min="8" max="8" width="12" customWidth="1"/>
    <col min="9" max="9" width="22.453125" customWidth="1"/>
    <col min="10" max="10" width="14.54296875" customWidth="1"/>
    <col min="11" max="11" width="4.90625" customWidth="1"/>
    <col min="12" max="12" width="24" bestFit="1" customWidth="1"/>
    <col min="13" max="13" width="20.26953125" customWidth="1"/>
    <col min="14" max="14" width="15.26953125" bestFit="1" customWidth="1"/>
    <col min="15" max="15" width="16.08984375" customWidth="1"/>
    <col min="16" max="16" width="26.36328125" customWidth="1"/>
    <col min="17" max="17" width="17" customWidth="1"/>
    <col min="18" max="18" width="11.7265625" customWidth="1"/>
    <col min="19" max="19" width="18.1796875" customWidth="1"/>
    <col min="20" max="20" width="31.36328125" customWidth="1"/>
    <col min="21" max="21" width="55.6328125" customWidth="1"/>
    <col min="22" max="22" width="31.453125" customWidth="1"/>
    <col min="23" max="23" width="72.08984375" customWidth="1"/>
    <col min="24" max="24" width="39.54296875" customWidth="1"/>
    <col min="25" max="25" width="28" customWidth="1"/>
    <col min="26" max="26" width="65" customWidth="1"/>
    <col min="27" max="27" width="31.81640625" customWidth="1"/>
    <col min="28" max="28" width="68.26953125" customWidth="1"/>
    <col min="29" max="29" width="49.08984375" style="1" customWidth="1"/>
    <col min="30" max="30" width="36.81640625" customWidth="1"/>
    <col min="31" max="31" width="23.26953125" customWidth="1"/>
    <col min="32" max="32" width="21.1796875" customWidth="1"/>
    <col min="33" max="33" width="27.26953125" bestFit="1" customWidth="1"/>
    <col min="34" max="34" width="31.36328125" customWidth="1"/>
    <col min="35" max="35" width="42.1796875" customWidth="1"/>
    <col min="36" max="36" width="20.08984375" customWidth="1"/>
    <col min="37" max="37" width="19.08984375" customWidth="1"/>
    <col min="38" max="38" width="29.26953125" customWidth="1"/>
    <col min="39" max="39" width="36.453125" customWidth="1"/>
    <col min="40" max="40" width="12.36328125" customWidth="1"/>
    <col min="41" max="41" width="23" customWidth="1"/>
    <col min="42" max="42" width="16.1796875" customWidth="1"/>
    <col min="43" max="43" width="28.81640625" customWidth="1"/>
    <col min="44" max="44" width="12.453125" customWidth="1"/>
  </cols>
  <sheetData>
    <row r="1" spans="1:43" ht="14.25" customHeight="1" x14ac:dyDescent="0.35">
      <c r="A1" s="2" t="s">
        <v>467</v>
      </c>
      <c r="B1" s="2" t="s">
        <v>476</v>
      </c>
      <c r="C1" s="2" t="s">
        <v>475</v>
      </c>
      <c r="D1" s="2" t="s">
        <v>0</v>
      </c>
      <c r="E1" s="2" t="s">
        <v>1</v>
      </c>
      <c r="F1" s="2" t="s">
        <v>2</v>
      </c>
      <c r="G1" s="2" t="s">
        <v>3</v>
      </c>
      <c r="H1" s="2" t="s">
        <v>4</v>
      </c>
      <c r="I1" s="2" t="s">
        <v>459</v>
      </c>
      <c r="J1" s="2" t="s">
        <v>5</v>
      </c>
      <c r="K1" s="2" t="s">
        <v>6</v>
      </c>
      <c r="L1" s="2" t="s">
        <v>461</v>
      </c>
      <c r="M1" s="2" t="s">
        <v>7</v>
      </c>
      <c r="N1" s="2" t="s">
        <v>456</v>
      </c>
      <c r="O1" s="2" t="s">
        <v>8</v>
      </c>
      <c r="P1" s="2" t="s">
        <v>9</v>
      </c>
      <c r="Q1" s="2" t="s">
        <v>10</v>
      </c>
      <c r="R1" s="2" t="s">
        <v>11</v>
      </c>
      <c r="S1" s="2" t="s">
        <v>12</v>
      </c>
      <c r="T1" s="2" t="s">
        <v>13</v>
      </c>
      <c r="U1" s="2" t="s">
        <v>14</v>
      </c>
      <c r="V1" s="2" t="s">
        <v>15</v>
      </c>
      <c r="W1" s="2" t="s">
        <v>16</v>
      </c>
      <c r="X1" s="3" t="s">
        <v>17</v>
      </c>
      <c r="Y1" s="3" t="s">
        <v>18</v>
      </c>
      <c r="Z1" s="3" t="s">
        <v>19</v>
      </c>
      <c r="AA1" s="3" t="s">
        <v>20</v>
      </c>
      <c r="AB1" s="3" t="s">
        <v>21</v>
      </c>
      <c r="AC1" s="3" t="s">
        <v>22</v>
      </c>
      <c r="AD1" s="3" t="s">
        <v>23</v>
      </c>
      <c r="AE1" s="3" t="s">
        <v>24</v>
      </c>
      <c r="AF1" s="3" t="s">
        <v>25</v>
      </c>
      <c r="AG1" s="3" t="s">
        <v>466</v>
      </c>
      <c r="AH1" s="3" t="s">
        <v>26</v>
      </c>
      <c r="AI1" s="3" t="s">
        <v>27</v>
      </c>
      <c r="AJ1" s="3" t="s">
        <v>28</v>
      </c>
      <c r="AK1" s="3" t="s">
        <v>29</v>
      </c>
      <c r="AL1" s="3" t="s">
        <v>30</v>
      </c>
      <c r="AM1" s="3" t="s">
        <v>31</v>
      </c>
      <c r="AN1" s="3" t="s">
        <v>32</v>
      </c>
      <c r="AO1" s="3" t="s">
        <v>33</v>
      </c>
      <c r="AP1" s="3" t="s">
        <v>34</v>
      </c>
      <c r="AQ1" s="3" t="s">
        <v>35</v>
      </c>
    </row>
    <row r="2" spans="1:43" ht="14.25" customHeight="1" x14ac:dyDescent="0.35">
      <c r="A2" t="s">
        <v>468</v>
      </c>
      <c r="B2" s="1" t="s">
        <v>477</v>
      </c>
      <c r="C2" s="1">
        <f>+J2</f>
        <v>1</v>
      </c>
      <c r="D2" s="4" t="s">
        <v>36</v>
      </c>
      <c r="E2" s="5" t="s">
        <v>37</v>
      </c>
      <c r="F2" s="5" t="s">
        <v>38</v>
      </c>
      <c r="G2" s="4" t="s">
        <v>39</v>
      </c>
      <c r="H2" s="4" t="s">
        <v>40</v>
      </c>
      <c r="I2" s="6" t="s">
        <v>41</v>
      </c>
      <c r="J2" s="5">
        <v>1</v>
      </c>
      <c r="K2" s="5" t="s">
        <v>42</v>
      </c>
      <c r="L2" s="5" t="s">
        <v>42</v>
      </c>
      <c r="M2" s="5">
        <v>160</v>
      </c>
      <c r="N2" s="5">
        <v>7.8</v>
      </c>
      <c r="O2" s="5">
        <f>+N2*S2</f>
        <v>1248</v>
      </c>
      <c r="P2" s="7">
        <f>$AO$3*O2/($O$2+$O$3)</f>
        <v>5871.9975570000006</v>
      </c>
      <c r="Q2" s="5">
        <v>1.04E-2</v>
      </c>
      <c r="R2" s="5">
        <f t="shared" ref="R2:R26" si="0">+N2/Q2</f>
        <v>750</v>
      </c>
      <c r="S2" s="5">
        <v>160</v>
      </c>
      <c r="T2" s="7">
        <f>$AO$3*S2/($S$2+$S$3)</f>
        <v>5871.9975570000006</v>
      </c>
      <c r="U2" s="8">
        <f t="shared" ref="U2:U26" si="1">+Q2*S2</f>
        <v>1.6639999999999999</v>
      </c>
      <c r="V2" s="5">
        <v>1.62</v>
      </c>
      <c r="W2" s="5">
        <v>2.71</v>
      </c>
      <c r="X2" s="9">
        <v>14.21</v>
      </c>
      <c r="Y2" s="10">
        <f t="shared" ref="Y2:Y26" si="2">+V2/X2</f>
        <v>0.11400422237860662</v>
      </c>
      <c r="Z2" s="10">
        <f t="shared" ref="Z2:Z26" si="3">+U2/W2</f>
        <v>0.61402214022140222</v>
      </c>
      <c r="AA2" s="9">
        <v>34.103999999999999</v>
      </c>
      <c r="AB2" s="11">
        <f t="shared" ref="AB2:AB26" si="4">+W2/AA2</f>
        <v>7.9462819610602864E-2</v>
      </c>
      <c r="AC2" s="12">
        <f>+AB2*AN3</f>
        <v>2455.8183296094298</v>
      </c>
      <c r="AD2" s="13">
        <f>(2.09*2.94*0.75+1.2*1.6*2.09)/AA2*AB2*AN3</f>
        <v>620.81350498901304</v>
      </c>
      <c r="AE2" s="12">
        <f t="shared" ref="AE2:AE26" si="5">+AC2+AD2</f>
        <v>3076.6318345984428</v>
      </c>
      <c r="AF2" s="12">
        <f>+AE2*AP3</f>
        <v>993.75208257529709</v>
      </c>
      <c r="AG2" s="14">
        <f t="shared" ref="AG2:AG26" si="6">+AE2/O2</f>
        <v>2.4652498674667007</v>
      </c>
      <c r="AH2" s="15">
        <f>+AG2*AP3</f>
        <v>0.79627570719174434</v>
      </c>
      <c r="AI2" s="16">
        <f t="shared" ref="AI2:AI26" si="7">+O2/$O$1048576</f>
        <v>0.30052317038459747</v>
      </c>
      <c r="AJ2" s="10"/>
      <c r="AK2" s="10"/>
    </row>
    <row r="3" spans="1:43" ht="14.25" customHeight="1" x14ac:dyDescent="0.35">
      <c r="A3" s="190" t="s">
        <v>468</v>
      </c>
      <c r="B3" s="191" t="s">
        <v>477</v>
      </c>
      <c r="C3" s="191">
        <f t="shared" ref="C3:C27" si="8">+J3</f>
        <v>5</v>
      </c>
      <c r="D3" s="17" t="s">
        <v>43</v>
      </c>
      <c r="E3" s="18" t="s">
        <v>37</v>
      </c>
      <c r="F3" s="18" t="s">
        <v>38</v>
      </c>
      <c r="G3" s="17" t="s">
        <v>39</v>
      </c>
      <c r="H3" s="17" t="s">
        <v>40</v>
      </c>
      <c r="I3" s="19" t="s">
        <v>44</v>
      </c>
      <c r="J3" s="18">
        <v>5</v>
      </c>
      <c r="K3" s="18" t="s">
        <v>42</v>
      </c>
      <c r="L3" s="18" t="s">
        <v>42</v>
      </c>
      <c r="M3" s="18">
        <v>112</v>
      </c>
      <c r="N3" s="18">
        <v>7.8</v>
      </c>
      <c r="O3" s="18">
        <f>+N3*S3</f>
        <v>873.6</v>
      </c>
      <c r="P3" s="20">
        <f>$AO$3*O3/($O$2+$O$3)</f>
        <v>4110.3982899000011</v>
      </c>
      <c r="Q3" s="18">
        <f>20*20*26/1000000</f>
        <v>1.04E-2</v>
      </c>
      <c r="R3" s="18">
        <f t="shared" si="0"/>
        <v>750</v>
      </c>
      <c r="S3" s="18">
        <v>112</v>
      </c>
      <c r="T3" s="20">
        <f>$AO$3*S3/($S$2+$S$3)</f>
        <v>4110.3982899000002</v>
      </c>
      <c r="U3" s="21">
        <f t="shared" si="1"/>
        <v>1.1648000000000001</v>
      </c>
      <c r="V3" s="18">
        <v>1.05</v>
      </c>
      <c r="W3" s="18">
        <v>1.85</v>
      </c>
      <c r="X3" s="22">
        <v>14.21</v>
      </c>
      <c r="Y3" s="23">
        <f t="shared" si="2"/>
        <v>7.389162561576354E-2</v>
      </c>
      <c r="Z3" s="23">
        <f t="shared" si="3"/>
        <v>0.62962162162162161</v>
      </c>
      <c r="AA3" s="22">
        <f>14.21*2.4</f>
        <v>34.103999999999999</v>
      </c>
      <c r="AB3" s="24">
        <f t="shared" si="4"/>
        <v>5.4245836265540706E-2</v>
      </c>
      <c r="AC3" s="25">
        <f>+AN3*AB3</f>
        <v>1676.4811475193528</v>
      </c>
      <c r="AD3" s="26">
        <f>(2.09*2.94*0.75+1.2*1.6*2.09)/AA3*AB3*AN3</f>
        <v>423.80257720652185</v>
      </c>
      <c r="AE3" s="25">
        <f t="shared" si="5"/>
        <v>2100.2837247258749</v>
      </c>
      <c r="AF3" s="25">
        <f>+AE3*AP3</f>
        <v>678.39164308645763</v>
      </c>
      <c r="AG3" s="27">
        <f t="shared" si="6"/>
        <v>2.40417093031808</v>
      </c>
      <c r="AH3" s="28">
        <f>+AG3*AP3</f>
        <v>0.77654721049273989</v>
      </c>
      <c r="AI3" s="29">
        <f t="shared" si="7"/>
        <v>0.21036621926921825</v>
      </c>
      <c r="AJ3" s="30">
        <v>0.51</v>
      </c>
      <c r="AK3" s="30">
        <v>0.54</v>
      </c>
      <c r="AL3" s="31">
        <f>718150542*AK3/1448</f>
        <v>267818.5722928177</v>
      </c>
      <c r="AM3" s="31">
        <f>+AL3/52</f>
        <v>5150.3571594772638</v>
      </c>
      <c r="AN3" s="32">
        <f>74813*AJ3*0.81</f>
        <v>30905.2503</v>
      </c>
      <c r="AO3" s="33">
        <f>+AN3*AP3</f>
        <v>9982.3958469000008</v>
      </c>
      <c r="AP3" s="34">
        <v>0.32300000000000001</v>
      </c>
      <c r="AQ3" s="35">
        <f>+AO3/AL3</f>
        <v>3.7272978350380473E-2</v>
      </c>
    </row>
    <row r="4" spans="1:43" ht="14.25" customHeight="1" x14ac:dyDescent="0.35">
      <c r="A4" t="s">
        <v>472</v>
      </c>
      <c r="B4" s="1" t="s">
        <v>477</v>
      </c>
      <c r="C4" s="1">
        <f t="shared" si="8"/>
        <v>2</v>
      </c>
      <c r="D4" t="s">
        <v>45</v>
      </c>
      <c r="E4" s="5" t="s">
        <v>37</v>
      </c>
      <c r="F4" s="5" t="s">
        <v>38</v>
      </c>
      <c r="G4" s="36" t="s">
        <v>39</v>
      </c>
      <c r="H4" s="36" t="s">
        <v>40</v>
      </c>
      <c r="I4" s="6" t="s">
        <v>46</v>
      </c>
      <c r="J4" s="37">
        <v>2</v>
      </c>
      <c r="K4" s="37">
        <v>1</v>
      </c>
      <c r="L4" s="37">
        <v>1</v>
      </c>
      <c r="M4" s="37">
        <v>10</v>
      </c>
      <c r="N4" s="1">
        <f>720*6/1000</f>
        <v>4.32</v>
      </c>
      <c r="O4" s="38">
        <f t="shared" ref="O4:O12" si="9">+M4*N4</f>
        <v>43.2</v>
      </c>
      <c r="P4" s="39">
        <f t="shared" ref="P4:P18" si="10">+$AO$18*O4/SUM($O$4:$O$18)</f>
        <v>358.22458872413625</v>
      </c>
      <c r="Q4" s="40">
        <f>50.5*17*17/1000000</f>
        <v>1.45945E-2</v>
      </c>
      <c r="R4" s="41">
        <f t="shared" si="0"/>
        <v>296.00191853095345</v>
      </c>
      <c r="S4" s="1">
        <f t="shared" ref="S4:S18" si="11">+M4</f>
        <v>10</v>
      </c>
      <c r="T4" s="39">
        <f t="shared" ref="T4:T18" si="12">+$AO$18*S4/SUM($S$4:$S$18)</f>
        <v>444.84829977272733</v>
      </c>
      <c r="U4" s="42">
        <f t="shared" si="1"/>
        <v>0.14594499999999999</v>
      </c>
      <c r="V4" s="1">
        <f>105*17/10000</f>
        <v>0.17849999999999999</v>
      </c>
      <c r="W4" s="1">
        <f>(66*52.5+126*52.5)*17/1000000</f>
        <v>0.17136000000000001</v>
      </c>
      <c r="X4" s="9">
        <v>14.21</v>
      </c>
      <c r="Y4" s="10">
        <f t="shared" si="2"/>
        <v>1.2561576354679801E-2</v>
      </c>
      <c r="Z4" s="10">
        <f t="shared" si="3"/>
        <v>0.8516865079365078</v>
      </c>
      <c r="AA4" s="9">
        <v>34.103999999999999</v>
      </c>
      <c r="AB4" s="11">
        <f t="shared" si="4"/>
        <v>5.0246305418719219E-3</v>
      </c>
      <c r="AC4" s="12">
        <f t="shared" ref="AC4:AC18" si="13">+$AN$18*AB4</f>
        <v>60.897044926108393</v>
      </c>
      <c r="AD4" s="13">
        <f t="shared" ref="AD4:AD18" si="14">(2.09*2.94*0.75+1.2*1.6*2.09)/AA4*AB4*$AN$18</f>
        <v>15.394342263934201</v>
      </c>
      <c r="AE4" s="12">
        <f t="shared" si="5"/>
        <v>76.291387190042599</v>
      </c>
      <c r="AF4" s="12">
        <f t="shared" ref="AF4:AF18" si="15">+$AP$18*AE4</f>
        <v>24.642118062383759</v>
      </c>
      <c r="AG4" s="14">
        <f t="shared" si="6"/>
        <v>1.7660043331028379</v>
      </c>
      <c r="AH4" s="15">
        <f t="shared" ref="AH4:AH18" si="16">+AG4*$AP$18</f>
        <v>0.57041939959221666</v>
      </c>
      <c r="AI4" s="16">
        <f t="shared" si="7"/>
        <v>1.0402725128697606E-2</v>
      </c>
      <c r="AJ4" s="10"/>
      <c r="AK4" s="10"/>
    </row>
    <row r="5" spans="1:43" ht="14.25" customHeight="1" x14ac:dyDescent="0.35">
      <c r="A5" t="s">
        <v>472</v>
      </c>
      <c r="B5" s="1" t="s">
        <v>477</v>
      </c>
      <c r="C5" s="1">
        <f t="shared" si="8"/>
        <v>2</v>
      </c>
      <c r="D5" t="s">
        <v>47</v>
      </c>
      <c r="E5" s="5" t="s">
        <v>48</v>
      </c>
      <c r="F5" s="5" t="s">
        <v>49</v>
      </c>
      <c r="G5" s="4" t="s">
        <v>50</v>
      </c>
      <c r="H5" s="4" t="s">
        <v>51</v>
      </c>
      <c r="I5" s="6" t="s">
        <v>46</v>
      </c>
      <c r="J5" s="37">
        <v>2</v>
      </c>
      <c r="K5" s="37">
        <v>1</v>
      </c>
      <c r="L5" s="37">
        <v>6</v>
      </c>
      <c r="M5" s="37">
        <v>4</v>
      </c>
      <c r="N5" s="1">
        <f>680*6/1000</f>
        <v>4.08</v>
      </c>
      <c r="O5" s="43">
        <f t="shared" si="9"/>
        <v>16.32</v>
      </c>
      <c r="P5" s="39">
        <f t="shared" si="10"/>
        <v>135.32928907356259</v>
      </c>
      <c r="Q5" s="1">
        <f>38.5*23*16/1000000</f>
        <v>1.4168E-2</v>
      </c>
      <c r="R5" s="7">
        <f t="shared" si="0"/>
        <v>287.97289666854886</v>
      </c>
      <c r="S5" s="1">
        <f t="shared" si="11"/>
        <v>4</v>
      </c>
      <c r="T5" s="39">
        <f t="shared" si="12"/>
        <v>177.93931990909093</v>
      </c>
      <c r="U5" s="44">
        <f t="shared" si="1"/>
        <v>5.6672E-2</v>
      </c>
      <c r="V5" s="1">
        <f>100*23/10000</f>
        <v>0.23</v>
      </c>
      <c r="W5" s="1">
        <f>66*50*23/1000000</f>
        <v>7.5899999999999995E-2</v>
      </c>
      <c r="X5" s="45">
        <v>14.21</v>
      </c>
      <c r="Y5" s="46">
        <f t="shared" si="2"/>
        <v>1.6185784658691062E-2</v>
      </c>
      <c r="Z5" s="47">
        <f t="shared" si="3"/>
        <v>0.7466666666666667</v>
      </c>
      <c r="AA5" s="9">
        <v>34.103999999999999</v>
      </c>
      <c r="AB5" s="11">
        <f t="shared" si="4"/>
        <v>2.225545390570021E-3</v>
      </c>
      <c r="AC5" s="12">
        <f t="shared" si="13"/>
        <v>26.972955823363829</v>
      </c>
      <c r="AD5" s="13">
        <f t="shared" si="14"/>
        <v>6.8185724663434035</v>
      </c>
      <c r="AE5" s="12">
        <f t="shared" si="5"/>
        <v>33.79152828970723</v>
      </c>
      <c r="AF5" s="12">
        <f t="shared" si="15"/>
        <v>10.914663637575435</v>
      </c>
      <c r="AG5" s="14">
        <f t="shared" si="6"/>
        <v>2.0705593314771589</v>
      </c>
      <c r="AH5" s="15">
        <f t="shared" si="16"/>
        <v>0.66879066406712229</v>
      </c>
      <c r="AI5" s="16">
        <f t="shared" si="7"/>
        <v>3.929918381952429E-3</v>
      </c>
      <c r="AJ5" s="10"/>
      <c r="AK5" s="10"/>
    </row>
    <row r="6" spans="1:43" ht="14.25" customHeight="1" x14ac:dyDescent="0.35">
      <c r="A6" t="s">
        <v>473</v>
      </c>
      <c r="B6" s="1" t="s">
        <v>477</v>
      </c>
      <c r="C6" s="1">
        <f t="shared" si="8"/>
        <v>2</v>
      </c>
      <c r="D6" t="s">
        <v>52</v>
      </c>
      <c r="E6" s="5" t="s">
        <v>48</v>
      </c>
      <c r="F6" s="5" t="s">
        <v>49</v>
      </c>
      <c r="G6" s="4" t="s">
        <v>50</v>
      </c>
      <c r="H6" s="4" t="s">
        <v>51</v>
      </c>
      <c r="I6" s="6" t="s">
        <v>46</v>
      </c>
      <c r="J6" s="37">
        <v>2</v>
      </c>
      <c r="K6" s="37">
        <v>1</v>
      </c>
      <c r="L6" s="37">
        <v>5</v>
      </c>
      <c r="M6" s="37">
        <v>4</v>
      </c>
      <c r="N6" s="1">
        <f>600*6/1000</f>
        <v>3.6</v>
      </c>
      <c r="O6" s="43">
        <f t="shared" si="9"/>
        <v>14.4</v>
      </c>
      <c r="P6" s="39">
        <f t="shared" si="10"/>
        <v>119.40819624137876</v>
      </c>
      <c r="Q6" s="1">
        <f>38.5*23*16/1000000</f>
        <v>1.4168E-2</v>
      </c>
      <c r="R6" s="7">
        <f t="shared" si="0"/>
        <v>254.09373235460191</v>
      </c>
      <c r="S6" s="1">
        <f t="shared" si="11"/>
        <v>4</v>
      </c>
      <c r="T6" s="39">
        <f t="shared" si="12"/>
        <v>177.93931990909093</v>
      </c>
      <c r="U6" s="44">
        <f t="shared" si="1"/>
        <v>5.6672E-2</v>
      </c>
      <c r="V6" s="1">
        <f>100*23/10000</f>
        <v>0.23</v>
      </c>
      <c r="W6" s="1">
        <f>66*100*23/1000000/2</f>
        <v>7.5899999999999995E-2</v>
      </c>
      <c r="X6" s="45">
        <v>14.21</v>
      </c>
      <c r="Y6" s="46">
        <f t="shared" si="2"/>
        <v>1.6185784658691062E-2</v>
      </c>
      <c r="Z6" s="47">
        <f t="shared" si="3"/>
        <v>0.7466666666666667</v>
      </c>
      <c r="AA6" s="9">
        <v>34.103999999999999</v>
      </c>
      <c r="AB6" s="11">
        <f t="shared" si="4"/>
        <v>2.225545390570021E-3</v>
      </c>
      <c r="AC6" s="12">
        <f t="shared" si="13"/>
        <v>26.972955823363829</v>
      </c>
      <c r="AD6" s="13">
        <f t="shared" si="14"/>
        <v>6.8185724663434035</v>
      </c>
      <c r="AE6" s="12">
        <f t="shared" si="5"/>
        <v>33.79152828970723</v>
      </c>
      <c r="AF6" s="12">
        <f t="shared" si="15"/>
        <v>10.914663637575435</v>
      </c>
      <c r="AG6" s="14">
        <f t="shared" si="6"/>
        <v>2.3466339090074464</v>
      </c>
      <c r="AH6" s="15">
        <f t="shared" si="16"/>
        <v>0.75796275260940515</v>
      </c>
      <c r="AI6" s="16">
        <f t="shared" si="7"/>
        <v>3.4675750428992021E-3</v>
      </c>
      <c r="AJ6" s="10"/>
      <c r="AK6" s="10"/>
    </row>
    <row r="7" spans="1:43" ht="14.25" customHeight="1" x14ac:dyDescent="0.35">
      <c r="A7" t="s">
        <v>473</v>
      </c>
      <c r="B7" s="1" t="s">
        <v>477</v>
      </c>
      <c r="C7" s="1">
        <f t="shared" si="8"/>
        <v>2</v>
      </c>
      <c r="D7" t="s">
        <v>53</v>
      </c>
      <c r="E7" s="5" t="s">
        <v>48</v>
      </c>
      <c r="F7" s="5" t="s">
        <v>49</v>
      </c>
      <c r="G7" s="4" t="s">
        <v>50</v>
      </c>
      <c r="H7" s="48" t="s">
        <v>51</v>
      </c>
      <c r="I7" s="6" t="s">
        <v>46</v>
      </c>
      <c r="J7" s="37">
        <v>2</v>
      </c>
      <c r="K7" s="37">
        <v>1</v>
      </c>
      <c r="L7" s="37">
        <v>5</v>
      </c>
      <c r="M7" s="37">
        <v>4</v>
      </c>
      <c r="N7" s="1">
        <f>672*6/1000</f>
        <v>4.032</v>
      </c>
      <c r="O7" s="43">
        <f t="shared" si="9"/>
        <v>16.128</v>
      </c>
      <c r="P7" s="39">
        <f t="shared" si="10"/>
        <v>133.73717979034421</v>
      </c>
      <c r="Q7" s="1">
        <f>38.5*23*16/1000000</f>
        <v>1.4168E-2</v>
      </c>
      <c r="R7" s="7">
        <f t="shared" si="0"/>
        <v>284.58498023715413</v>
      </c>
      <c r="S7" s="1">
        <f t="shared" si="11"/>
        <v>4</v>
      </c>
      <c r="T7" s="39">
        <f t="shared" si="12"/>
        <v>177.93931990909093</v>
      </c>
      <c r="U7" s="44">
        <f t="shared" si="1"/>
        <v>5.6672E-2</v>
      </c>
      <c r="V7" s="1">
        <f>100*23/10000</f>
        <v>0.23</v>
      </c>
      <c r="W7" s="1">
        <f>66*100*23/1000000/2</f>
        <v>7.5899999999999995E-2</v>
      </c>
      <c r="X7" s="45">
        <v>14.21</v>
      </c>
      <c r="Y7" s="46">
        <f t="shared" si="2"/>
        <v>1.6185784658691062E-2</v>
      </c>
      <c r="Z7" s="47">
        <f t="shared" si="3"/>
        <v>0.7466666666666667</v>
      </c>
      <c r="AA7" s="9">
        <v>34.103999999999999</v>
      </c>
      <c r="AB7" s="11">
        <f t="shared" si="4"/>
        <v>2.225545390570021E-3</v>
      </c>
      <c r="AC7" s="12">
        <f t="shared" si="13"/>
        <v>26.972955823363829</v>
      </c>
      <c r="AD7" s="13">
        <f t="shared" si="14"/>
        <v>6.8185724663434035</v>
      </c>
      <c r="AE7" s="12">
        <f t="shared" si="5"/>
        <v>33.79152828970723</v>
      </c>
      <c r="AF7" s="12">
        <f t="shared" si="15"/>
        <v>10.914663637575435</v>
      </c>
      <c r="AG7" s="14">
        <f t="shared" si="6"/>
        <v>2.0952088473280774</v>
      </c>
      <c r="AH7" s="15">
        <f t="shared" si="16"/>
        <v>0.67675245768696901</v>
      </c>
      <c r="AI7" s="16">
        <f t="shared" si="7"/>
        <v>3.8836840480471063E-3</v>
      </c>
    </row>
    <row r="8" spans="1:43" ht="14.25" customHeight="1" x14ac:dyDescent="0.35">
      <c r="A8" t="s">
        <v>472</v>
      </c>
      <c r="B8" s="1" t="s">
        <v>477</v>
      </c>
      <c r="C8" s="1">
        <f t="shared" si="8"/>
        <v>2</v>
      </c>
      <c r="D8" t="s">
        <v>54</v>
      </c>
      <c r="E8" s="5" t="s">
        <v>55</v>
      </c>
      <c r="F8" s="5" t="s">
        <v>56</v>
      </c>
      <c r="G8" t="s">
        <v>57</v>
      </c>
      <c r="H8" s="49" t="s">
        <v>58</v>
      </c>
      <c r="I8" s="50" t="s">
        <v>46</v>
      </c>
      <c r="J8" s="37">
        <v>2</v>
      </c>
      <c r="K8" s="37">
        <v>1</v>
      </c>
      <c r="L8" s="37">
        <v>3</v>
      </c>
      <c r="M8" s="37">
        <v>10</v>
      </c>
      <c r="N8" s="1">
        <f>592*6/1000</f>
        <v>3.552</v>
      </c>
      <c r="O8" s="43">
        <f t="shared" si="9"/>
        <v>35.520000000000003</v>
      </c>
      <c r="P8" s="39">
        <f t="shared" si="10"/>
        <v>294.54021739540093</v>
      </c>
      <c r="Q8" s="1">
        <f>40.5*23*13/1000000</f>
        <v>1.21095E-2</v>
      </c>
      <c r="R8" s="7">
        <f t="shared" si="0"/>
        <v>293.32342375820633</v>
      </c>
      <c r="S8" s="1">
        <f t="shared" si="11"/>
        <v>10</v>
      </c>
      <c r="T8" s="39">
        <f t="shared" si="12"/>
        <v>444.84829977272733</v>
      </c>
      <c r="U8" s="44">
        <f t="shared" si="1"/>
        <v>0.12109500000000001</v>
      </c>
      <c r="V8" s="1">
        <f>100*23/10000</f>
        <v>0.23</v>
      </c>
      <c r="W8" s="1">
        <f>66*100*23/1000000</f>
        <v>0.15179999999999999</v>
      </c>
      <c r="X8" s="45">
        <v>14.21</v>
      </c>
      <c r="Y8" s="46">
        <f t="shared" si="2"/>
        <v>1.6185784658691062E-2</v>
      </c>
      <c r="Z8" s="47">
        <f t="shared" si="3"/>
        <v>0.79772727272727284</v>
      </c>
      <c r="AA8" s="9">
        <v>34.103999999999999</v>
      </c>
      <c r="AB8" s="11">
        <f t="shared" si="4"/>
        <v>4.451090781140042E-3</v>
      </c>
      <c r="AC8" s="12">
        <f t="shared" si="13"/>
        <v>53.945911646727659</v>
      </c>
      <c r="AD8" s="13">
        <f t="shared" si="14"/>
        <v>13.637144932686807</v>
      </c>
      <c r="AE8" s="12">
        <f t="shared" si="5"/>
        <v>67.58305657941446</v>
      </c>
      <c r="AF8" s="12">
        <f t="shared" si="15"/>
        <v>21.82932727515087</v>
      </c>
      <c r="AG8" s="14">
        <f t="shared" si="6"/>
        <v>1.9026761424384699</v>
      </c>
      <c r="AH8" s="15">
        <f t="shared" si="16"/>
        <v>0.61456439400762586</v>
      </c>
      <c r="AI8" s="16">
        <f t="shared" si="7"/>
        <v>8.5533517724846984E-3</v>
      </c>
    </row>
    <row r="9" spans="1:43" ht="14.25" customHeight="1" x14ac:dyDescent="0.35">
      <c r="A9" t="s">
        <v>473</v>
      </c>
      <c r="B9" s="1" t="s">
        <v>477</v>
      </c>
      <c r="C9" s="1">
        <f t="shared" si="8"/>
        <v>2</v>
      </c>
      <c r="D9" t="s">
        <v>59</v>
      </c>
      <c r="E9" s="5" t="s">
        <v>48</v>
      </c>
      <c r="F9" s="5" t="s">
        <v>49</v>
      </c>
      <c r="G9" s="4" t="s">
        <v>50</v>
      </c>
      <c r="H9" s="36" t="s">
        <v>51</v>
      </c>
      <c r="I9" s="6" t="s">
        <v>46</v>
      </c>
      <c r="J9" s="37">
        <v>2</v>
      </c>
      <c r="K9" s="37">
        <v>1</v>
      </c>
      <c r="L9" s="37">
        <v>6</v>
      </c>
      <c r="M9" s="37">
        <v>4</v>
      </c>
      <c r="N9" s="1">
        <f>680*4/1000</f>
        <v>2.72</v>
      </c>
      <c r="O9" s="43">
        <f t="shared" si="9"/>
        <v>10.88</v>
      </c>
      <c r="P9" s="39">
        <f t="shared" si="10"/>
        <v>90.219526049041733</v>
      </c>
      <c r="Q9" s="1">
        <f>33*22.5*12/1000000</f>
        <v>8.9099999999999995E-3</v>
      </c>
      <c r="R9" s="7">
        <f t="shared" si="0"/>
        <v>305.27497194163863</v>
      </c>
      <c r="S9" s="1">
        <f t="shared" si="11"/>
        <v>4</v>
      </c>
      <c r="T9" s="39">
        <f t="shared" si="12"/>
        <v>177.93931990909093</v>
      </c>
      <c r="U9" s="44">
        <f t="shared" si="1"/>
        <v>3.5639999999999998E-2</v>
      </c>
      <c r="V9" s="1">
        <f>50*22.5/10000</f>
        <v>0.1125</v>
      </c>
      <c r="W9" s="1">
        <f>97*50*22.5/1000000/2</f>
        <v>5.45625E-2</v>
      </c>
      <c r="X9" s="45">
        <v>14.21</v>
      </c>
      <c r="Y9" s="46">
        <f t="shared" si="2"/>
        <v>7.9169598874032372E-3</v>
      </c>
      <c r="Z9" s="47">
        <f t="shared" si="3"/>
        <v>0.65319587628865972</v>
      </c>
      <c r="AA9" s="9">
        <v>34.103999999999999</v>
      </c>
      <c r="AB9" s="11">
        <f t="shared" si="4"/>
        <v>1.5998856439127375E-3</v>
      </c>
      <c r="AC9" s="12">
        <f t="shared" si="13"/>
        <v>19.390143637843071</v>
      </c>
      <c r="AD9" s="13">
        <f t="shared" si="14"/>
        <v>4.9016911751628713</v>
      </c>
      <c r="AE9" s="12">
        <f t="shared" si="5"/>
        <v>24.291834813005941</v>
      </c>
      <c r="AF9" s="12">
        <f t="shared" si="15"/>
        <v>7.8462626446009196</v>
      </c>
      <c r="AG9" s="14">
        <f t="shared" si="6"/>
        <v>2.2327054056071636</v>
      </c>
      <c r="AH9" s="15">
        <f t="shared" si="16"/>
        <v>0.72116384601111383</v>
      </c>
      <c r="AI9" s="16">
        <f t="shared" si="7"/>
        <v>2.6199455879682859E-3</v>
      </c>
    </row>
    <row r="10" spans="1:43" ht="14.25" customHeight="1" x14ac:dyDescent="0.35">
      <c r="A10" t="s">
        <v>473</v>
      </c>
      <c r="B10" s="1" t="s">
        <v>477</v>
      </c>
      <c r="C10" s="1">
        <f t="shared" si="8"/>
        <v>2</v>
      </c>
      <c r="D10" t="s">
        <v>60</v>
      </c>
      <c r="E10" s="5" t="s">
        <v>48</v>
      </c>
      <c r="F10" s="5" t="s">
        <v>49</v>
      </c>
      <c r="G10" s="4" t="s">
        <v>50</v>
      </c>
      <c r="H10" s="4" t="s">
        <v>51</v>
      </c>
      <c r="I10" s="6" t="s">
        <v>46</v>
      </c>
      <c r="J10" s="37">
        <v>2</v>
      </c>
      <c r="K10" s="37">
        <v>1</v>
      </c>
      <c r="L10" s="37">
        <v>6</v>
      </c>
      <c r="M10" s="37">
        <v>4</v>
      </c>
      <c r="N10" s="1">
        <f>600*4/1000</f>
        <v>2.4</v>
      </c>
      <c r="O10" s="43">
        <f t="shared" si="9"/>
        <v>9.6</v>
      </c>
      <c r="P10" s="39">
        <f t="shared" si="10"/>
        <v>79.605464160919169</v>
      </c>
      <c r="Q10" s="1">
        <f>33*22.5*12/1000000</f>
        <v>8.9099999999999995E-3</v>
      </c>
      <c r="R10" s="7">
        <f t="shared" si="0"/>
        <v>269.36026936026934</v>
      </c>
      <c r="S10" s="1">
        <f t="shared" si="11"/>
        <v>4</v>
      </c>
      <c r="T10" s="39">
        <f t="shared" si="12"/>
        <v>177.93931990909093</v>
      </c>
      <c r="U10" s="44">
        <f t="shared" si="1"/>
        <v>3.5639999999999998E-2</v>
      </c>
      <c r="V10" s="1">
        <f>50*22.5/10000</f>
        <v>0.1125</v>
      </c>
      <c r="W10" s="1">
        <f>97*50*22.5/1000000/2</f>
        <v>5.45625E-2</v>
      </c>
      <c r="X10" s="45">
        <v>14.21</v>
      </c>
      <c r="Y10" s="46">
        <f t="shared" si="2"/>
        <v>7.9169598874032372E-3</v>
      </c>
      <c r="Z10" s="47">
        <f t="shared" si="3"/>
        <v>0.65319587628865972</v>
      </c>
      <c r="AA10" s="9">
        <v>34.103999999999999</v>
      </c>
      <c r="AB10" s="11">
        <f t="shared" si="4"/>
        <v>1.5998856439127375E-3</v>
      </c>
      <c r="AC10" s="12">
        <f t="shared" si="13"/>
        <v>19.390143637843071</v>
      </c>
      <c r="AD10" s="13">
        <f t="shared" si="14"/>
        <v>4.9016911751628713</v>
      </c>
      <c r="AE10" s="12">
        <f t="shared" si="5"/>
        <v>24.291834813005941</v>
      </c>
      <c r="AF10" s="12">
        <f t="shared" si="15"/>
        <v>7.8462626446009196</v>
      </c>
      <c r="AG10" s="14">
        <f t="shared" si="6"/>
        <v>2.5303994596881192</v>
      </c>
      <c r="AH10" s="15">
        <f t="shared" si="16"/>
        <v>0.8173190254792625</v>
      </c>
      <c r="AI10" s="16">
        <f t="shared" si="7"/>
        <v>2.3117166952661347E-3</v>
      </c>
    </row>
    <row r="11" spans="1:43" ht="14.25" customHeight="1" x14ac:dyDescent="0.35">
      <c r="A11" t="s">
        <v>472</v>
      </c>
      <c r="B11" s="1" t="s">
        <v>477</v>
      </c>
      <c r="C11" s="1">
        <f t="shared" si="8"/>
        <v>2</v>
      </c>
      <c r="D11" t="s">
        <v>61</v>
      </c>
      <c r="E11" s="5" t="s">
        <v>37</v>
      </c>
      <c r="F11" s="5" t="s">
        <v>38</v>
      </c>
      <c r="G11" s="4" t="s">
        <v>39</v>
      </c>
      <c r="H11" s="4" t="s">
        <v>40</v>
      </c>
      <c r="I11" s="6" t="s">
        <v>46</v>
      </c>
      <c r="J11" s="37">
        <v>2</v>
      </c>
      <c r="K11" s="37">
        <v>1</v>
      </c>
      <c r="L11" s="37">
        <v>2</v>
      </c>
      <c r="M11" s="37">
        <v>11</v>
      </c>
      <c r="N11" s="1">
        <f>560*6/1000</f>
        <v>3.36</v>
      </c>
      <c r="O11" s="43">
        <f t="shared" si="9"/>
        <v>36.96</v>
      </c>
      <c r="P11" s="39">
        <f t="shared" si="10"/>
        <v>306.4810370195388</v>
      </c>
      <c r="Q11" s="1">
        <f>40.5*23*13/1000000</f>
        <v>1.21095E-2</v>
      </c>
      <c r="R11" s="7">
        <f t="shared" si="0"/>
        <v>277.46810355506005</v>
      </c>
      <c r="S11" s="1">
        <f t="shared" si="11"/>
        <v>11</v>
      </c>
      <c r="T11" s="39">
        <f t="shared" si="12"/>
        <v>489.33312975000007</v>
      </c>
      <c r="U11" s="44">
        <f t="shared" si="1"/>
        <v>0.1332045</v>
      </c>
      <c r="V11" s="1">
        <f>100*23/10000</f>
        <v>0.23</v>
      </c>
      <c r="W11" s="1">
        <f>66*100*23/1000000</f>
        <v>0.15179999999999999</v>
      </c>
      <c r="X11" s="45">
        <v>14.21</v>
      </c>
      <c r="Y11" s="46">
        <f t="shared" si="2"/>
        <v>1.6185784658691062E-2</v>
      </c>
      <c r="Z11" s="47">
        <f t="shared" si="3"/>
        <v>0.87750000000000006</v>
      </c>
      <c r="AA11" s="9">
        <v>34.103999999999999</v>
      </c>
      <c r="AB11" s="11">
        <f t="shared" si="4"/>
        <v>4.451090781140042E-3</v>
      </c>
      <c r="AC11" s="12">
        <f t="shared" si="13"/>
        <v>53.945911646727659</v>
      </c>
      <c r="AD11" s="13">
        <f t="shared" si="14"/>
        <v>13.637144932686807</v>
      </c>
      <c r="AE11" s="12">
        <f t="shared" si="5"/>
        <v>67.58305657941446</v>
      </c>
      <c r="AF11" s="12">
        <f t="shared" si="15"/>
        <v>21.82932727515087</v>
      </c>
      <c r="AG11" s="14">
        <f t="shared" si="6"/>
        <v>1.8285459031226856</v>
      </c>
      <c r="AH11" s="15">
        <f t="shared" si="16"/>
        <v>0.59062032670862752</v>
      </c>
      <c r="AI11" s="16">
        <f t="shared" si="7"/>
        <v>8.9001092767746186E-3</v>
      </c>
    </row>
    <row r="12" spans="1:43" ht="14.25" customHeight="1" x14ac:dyDescent="0.35">
      <c r="A12" t="s">
        <v>472</v>
      </c>
      <c r="B12" s="1" t="s">
        <v>477</v>
      </c>
      <c r="C12" s="1">
        <f t="shared" si="8"/>
        <v>2</v>
      </c>
      <c r="D12" t="s">
        <v>62</v>
      </c>
      <c r="E12" s="5" t="s">
        <v>55</v>
      </c>
      <c r="F12" s="5" t="s">
        <v>56</v>
      </c>
      <c r="G12" t="s">
        <v>57</v>
      </c>
      <c r="H12" s="4" t="s">
        <v>58</v>
      </c>
      <c r="I12" s="6" t="s">
        <v>46</v>
      </c>
      <c r="J12" s="37">
        <v>2</v>
      </c>
      <c r="K12" s="37">
        <v>1</v>
      </c>
      <c r="L12" s="37">
        <v>4</v>
      </c>
      <c r="M12" s="37">
        <v>10</v>
      </c>
      <c r="N12" s="1">
        <f>498*6/1000</f>
        <v>2.988</v>
      </c>
      <c r="O12" s="43">
        <f t="shared" si="9"/>
        <v>29.88</v>
      </c>
      <c r="P12" s="39">
        <f t="shared" si="10"/>
        <v>247.77200720086091</v>
      </c>
      <c r="Q12" s="1">
        <f>42.5*19*13.5/1000000</f>
        <v>1.0901249999999999E-2</v>
      </c>
      <c r="R12" s="7">
        <f t="shared" si="0"/>
        <v>274.09700722394223</v>
      </c>
      <c r="S12" s="1">
        <f t="shared" si="11"/>
        <v>10</v>
      </c>
      <c r="T12" s="39">
        <f t="shared" si="12"/>
        <v>444.84829977272733</v>
      </c>
      <c r="U12" s="44">
        <f t="shared" si="1"/>
        <v>0.1090125</v>
      </c>
      <c r="V12" s="1">
        <f>100*19/10000</f>
        <v>0.19</v>
      </c>
      <c r="W12" s="1">
        <f>66*100*19/1000000</f>
        <v>0.12540000000000001</v>
      </c>
      <c r="X12" s="45">
        <v>14.21</v>
      </c>
      <c r="Y12" s="46">
        <f t="shared" si="2"/>
        <v>1.3370865587614356E-2</v>
      </c>
      <c r="Z12" s="47">
        <f t="shared" si="3"/>
        <v>0.86931818181818177</v>
      </c>
      <c r="AA12" s="9">
        <v>34.103999999999999</v>
      </c>
      <c r="AB12" s="11">
        <f t="shared" si="4"/>
        <v>3.6769880365939483E-3</v>
      </c>
      <c r="AC12" s="12">
        <f t="shared" si="13"/>
        <v>44.564013969035905</v>
      </c>
      <c r="AD12" s="13">
        <f t="shared" si="14"/>
        <v>11.265467553089104</v>
      </c>
      <c r="AE12" s="12">
        <f t="shared" si="5"/>
        <v>55.829481522125008</v>
      </c>
      <c r="AF12" s="12">
        <f t="shared" si="15"/>
        <v>18.032922531646378</v>
      </c>
      <c r="AG12" s="14">
        <f t="shared" si="6"/>
        <v>1.868456543578481</v>
      </c>
      <c r="AH12" s="15">
        <f t="shared" si="16"/>
        <v>0.60351146357584939</v>
      </c>
      <c r="AI12" s="16">
        <f t="shared" si="7"/>
        <v>7.1952182140158439E-3</v>
      </c>
    </row>
    <row r="13" spans="1:43" ht="14.25" customHeight="1" x14ac:dyDescent="0.35">
      <c r="A13" t="s">
        <v>469</v>
      </c>
      <c r="B13" s="1" t="s">
        <v>477</v>
      </c>
      <c r="C13" s="1">
        <f t="shared" si="8"/>
        <v>2</v>
      </c>
      <c r="D13" t="s">
        <v>63</v>
      </c>
      <c r="E13" s="5" t="s">
        <v>37</v>
      </c>
      <c r="F13" s="5" t="s">
        <v>38</v>
      </c>
      <c r="G13" s="4" t="s">
        <v>39</v>
      </c>
      <c r="H13" s="4" t="s">
        <v>40</v>
      </c>
      <c r="I13" s="6" t="s">
        <v>46</v>
      </c>
      <c r="J13" s="37">
        <v>2</v>
      </c>
      <c r="K13" s="37">
        <v>2</v>
      </c>
      <c r="L13" s="37">
        <v>1</v>
      </c>
      <c r="M13" s="37">
        <v>4.5</v>
      </c>
      <c r="N13" s="37">
        <f t="shared" ref="N13:N18" si="17">1.6*6</f>
        <v>9.6000000000000014</v>
      </c>
      <c r="O13" s="51">
        <f t="shared" ref="O13:O26" si="18">+N13*M13</f>
        <v>43.2</v>
      </c>
      <c r="P13" s="39">
        <f t="shared" si="10"/>
        <v>358.22458872413625</v>
      </c>
      <c r="Q13" s="1">
        <f t="shared" ref="Q13:Q18" si="19">39*20*30/1000000</f>
        <v>2.3400000000000001E-2</v>
      </c>
      <c r="R13" s="7">
        <f t="shared" si="0"/>
        <v>410.25641025641033</v>
      </c>
      <c r="S13" s="1">
        <f t="shared" si="11"/>
        <v>4.5</v>
      </c>
      <c r="T13" s="39">
        <f t="shared" si="12"/>
        <v>200.18173489772732</v>
      </c>
      <c r="U13" s="44">
        <f t="shared" si="1"/>
        <v>0.1053</v>
      </c>
      <c r="V13" s="65">
        <f>1*1.34/6</f>
        <v>0.22333333333333336</v>
      </c>
      <c r="W13" s="181">
        <f>1.34/6*0.7</f>
        <v>0.15633333333333335</v>
      </c>
      <c r="X13" s="45">
        <v>14.21</v>
      </c>
      <c r="Y13" s="46">
        <f t="shared" si="2"/>
        <v>1.5716631480178277E-2</v>
      </c>
      <c r="Z13" s="47">
        <f t="shared" si="3"/>
        <v>0.67356076759061834</v>
      </c>
      <c r="AA13" s="9">
        <v>34.103999999999999</v>
      </c>
      <c r="AB13" s="11">
        <f t="shared" si="4"/>
        <v>4.5840175150519986E-3</v>
      </c>
      <c r="AC13" s="12">
        <f t="shared" si="13"/>
        <v>55.55694458128081</v>
      </c>
      <c r="AD13" s="13">
        <f t="shared" si="14"/>
        <v>14.044402664536921</v>
      </c>
      <c r="AE13" s="12">
        <f t="shared" si="5"/>
        <v>69.601347245817735</v>
      </c>
      <c r="AF13" s="12">
        <f t="shared" si="15"/>
        <v>22.48123516039913</v>
      </c>
      <c r="AG13" s="14">
        <f t="shared" si="6"/>
        <v>1.6111422973568919</v>
      </c>
      <c r="AH13" s="15">
        <f t="shared" si="16"/>
        <v>0.52039896204627611</v>
      </c>
      <c r="AI13" s="16">
        <f t="shared" si="7"/>
        <v>1.0402725128697606E-2</v>
      </c>
    </row>
    <row r="14" spans="1:43" ht="14.25" customHeight="1" x14ac:dyDescent="0.35">
      <c r="A14" t="s">
        <v>469</v>
      </c>
      <c r="B14" s="1" t="s">
        <v>477</v>
      </c>
      <c r="C14" s="1">
        <f t="shared" si="8"/>
        <v>2</v>
      </c>
      <c r="D14" t="s">
        <v>64</v>
      </c>
      <c r="E14" s="5" t="s">
        <v>37</v>
      </c>
      <c r="F14" s="5" t="s">
        <v>38</v>
      </c>
      <c r="G14" s="4" t="s">
        <v>39</v>
      </c>
      <c r="H14" s="4" t="s">
        <v>40</v>
      </c>
      <c r="I14" s="6" t="s">
        <v>46</v>
      </c>
      <c r="J14" s="37">
        <v>2</v>
      </c>
      <c r="K14" s="37">
        <v>2</v>
      </c>
      <c r="L14" s="37">
        <v>2</v>
      </c>
      <c r="M14" s="37">
        <v>4.5</v>
      </c>
      <c r="N14" s="37">
        <f t="shared" si="17"/>
        <v>9.6000000000000014</v>
      </c>
      <c r="O14" s="51">
        <f t="shared" si="18"/>
        <v>43.2</v>
      </c>
      <c r="P14" s="39">
        <f t="shared" si="10"/>
        <v>358.22458872413625</v>
      </c>
      <c r="Q14" s="1">
        <f t="shared" si="19"/>
        <v>2.3400000000000001E-2</v>
      </c>
      <c r="R14" s="7">
        <f t="shared" si="0"/>
        <v>410.25641025641033</v>
      </c>
      <c r="S14" s="1">
        <f t="shared" si="11"/>
        <v>4.5</v>
      </c>
      <c r="T14" s="39">
        <f t="shared" si="12"/>
        <v>200.18173489772732</v>
      </c>
      <c r="U14" s="44">
        <f t="shared" si="1"/>
        <v>0.1053</v>
      </c>
      <c r="V14" s="65">
        <f t="shared" ref="V14:V18" si="20">1*1.34/6</f>
        <v>0.22333333333333336</v>
      </c>
      <c r="W14" s="181">
        <f t="shared" ref="W14:W18" si="21">1.34/6*0.7</f>
        <v>0.15633333333333335</v>
      </c>
      <c r="X14" s="45">
        <v>14.21</v>
      </c>
      <c r="Y14" s="46">
        <f t="shared" si="2"/>
        <v>1.5716631480178277E-2</v>
      </c>
      <c r="Z14" s="47">
        <f t="shared" si="3"/>
        <v>0.67356076759061834</v>
      </c>
      <c r="AA14" s="9">
        <v>34.103999999999999</v>
      </c>
      <c r="AB14" s="11">
        <f t="shared" si="4"/>
        <v>4.5840175150519986E-3</v>
      </c>
      <c r="AC14" s="12">
        <f t="shared" si="13"/>
        <v>55.55694458128081</v>
      </c>
      <c r="AD14" s="13">
        <f t="shared" si="14"/>
        <v>14.044402664536921</v>
      </c>
      <c r="AE14" s="12">
        <f t="shared" si="5"/>
        <v>69.601347245817735</v>
      </c>
      <c r="AF14" s="12">
        <f t="shared" si="15"/>
        <v>22.48123516039913</v>
      </c>
      <c r="AG14" s="14">
        <f t="shared" si="6"/>
        <v>1.6111422973568919</v>
      </c>
      <c r="AH14" s="15">
        <f t="shared" si="16"/>
        <v>0.52039896204627611</v>
      </c>
      <c r="AI14" s="16">
        <f t="shared" si="7"/>
        <v>1.0402725128697606E-2</v>
      </c>
    </row>
    <row r="15" spans="1:43" ht="14.25" customHeight="1" x14ac:dyDescent="0.35">
      <c r="A15" t="s">
        <v>469</v>
      </c>
      <c r="B15" s="1" t="s">
        <v>477</v>
      </c>
      <c r="C15" s="1">
        <f t="shared" si="8"/>
        <v>2</v>
      </c>
      <c r="D15" t="s">
        <v>64</v>
      </c>
      <c r="E15" s="5" t="s">
        <v>37</v>
      </c>
      <c r="F15" s="5" t="s">
        <v>38</v>
      </c>
      <c r="G15" s="4" t="s">
        <v>39</v>
      </c>
      <c r="H15" s="4" t="s">
        <v>40</v>
      </c>
      <c r="I15" s="6" t="s">
        <v>46</v>
      </c>
      <c r="J15" s="37">
        <v>2</v>
      </c>
      <c r="K15" s="37">
        <v>2</v>
      </c>
      <c r="L15" s="37">
        <v>3</v>
      </c>
      <c r="M15" s="37">
        <v>4.5</v>
      </c>
      <c r="N15" s="37">
        <f t="shared" si="17"/>
        <v>9.6000000000000014</v>
      </c>
      <c r="O15" s="51">
        <f t="shared" si="18"/>
        <v>43.2</v>
      </c>
      <c r="P15" s="39">
        <f t="shared" si="10"/>
        <v>358.22458872413625</v>
      </c>
      <c r="Q15" s="1">
        <f t="shared" si="19"/>
        <v>2.3400000000000001E-2</v>
      </c>
      <c r="R15" s="7">
        <f t="shared" si="0"/>
        <v>410.25641025641033</v>
      </c>
      <c r="S15" s="1">
        <f t="shared" si="11"/>
        <v>4.5</v>
      </c>
      <c r="T15" s="39">
        <f t="shared" si="12"/>
        <v>200.18173489772732</v>
      </c>
      <c r="U15" s="44">
        <f t="shared" si="1"/>
        <v>0.1053</v>
      </c>
      <c r="V15" s="65">
        <f t="shared" si="20"/>
        <v>0.22333333333333336</v>
      </c>
      <c r="W15" s="181">
        <f t="shared" si="21"/>
        <v>0.15633333333333335</v>
      </c>
      <c r="X15" s="45">
        <v>14.21</v>
      </c>
      <c r="Y15" s="46">
        <f t="shared" si="2"/>
        <v>1.5716631480178277E-2</v>
      </c>
      <c r="Z15" s="47">
        <f t="shared" si="3"/>
        <v>0.67356076759061834</v>
      </c>
      <c r="AA15" s="9">
        <v>34.103999999999999</v>
      </c>
      <c r="AB15" s="11">
        <f t="shared" si="4"/>
        <v>4.5840175150519986E-3</v>
      </c>
      <c r="AC15" s="12">
        <f t="shared" si="13"/>
        <v>55.55694458128081</v>
      </c>
      <c r="AD15" s="13">
        <f t="shared" si="14"/>
        <v>14.044402664536921</v>
      </c>
      <c r="AE15" s="12">
        <f t="shared" si="5"/>
        <v>69.601347245817735</v>
      </c>
      <c r="AF15" s="12">
        <f t="shared" si="15"/>
        <v>22.48123516039913</v>
      </c>
      <c r="AG15" s="14">
        <f t="shared" si="6"/>
        <v>1.6111422973568919</v>
      </c>
      <c r="AH15" s="15">
        <f t="shared" si="16"/>
        <v>0.52039896204627611</v>
      </c>
      <c r="AI15" s="16">
        <f t="shared" si="7"/>
        <v>1.0402725128697606E-2</v>
      </c>
    </row>
    <row r="16" spans="1:43" ht="14.25" customHeight="1" x14ac:dyDescent="0.35">
      <c r="A16" t="s">
        <v>469</v>
      </c>
      <c r="B16" s="1" t="s">
        <v>477</v>
      </c>
      <c r="C16" s="1">
        <f t="shared" si="8"/>
        <v>2</v>
      </c>
      <c r="D16" t="s">
        <v>65</v>
      </c>
      <c r="E16" s="5" t="s">
        <v>37</v>
      </c>
      <c r="F16" s="5" t="s">
        <v>38</v>
      </c>
      <c r="G16" s="4" t="s">
        <v>39</v>
      </c>
      <c r="H16" s="4" t="s">
        <v>40</v>
      </c>
      <c r="I16" s="6" t="s">
        <v>46</v>
      </c>
      <c r="J16" s="37">
        <v>2</v>
      </c>
      <c r="K16" s="37">
        <v>2</v>
      </c>
      <c r="L16" s="37">
        <v>4</v>
      </c>
      <c r="M16" s="37">
        <v>4.5</v>
      </c>
      <c r="N16" s="37">
        <f t="shared" si="17"/>
        <v>9.6000000000000014</v>
      </c>
      <c r="O16" s="51">
        <f t="shared" si="18"/>
        <v>43.2</v>
      </c>
      <c r="P16" s="39">
        <f t="shared" si="10"/>
        <v>358.22458872413625</v>
      </c>
      <c r="Q16" s="1">
        <f t="shared" si="19"/>
        <v>2.3400000000000001E-2</v>
      </c>
      <c r="R16" s="7">
        <f t="shared" si="0"/>
        <v>410.25641025641033</v>
      </c>
      <c r="S16" s="1">
        <f t="shared" si="11"/>
        <v>4.5</v>
      </c>
      <c r="T16" s="39">
        <f t="shared" si="12"/>
        <v>200.18173489772732</v>
      </c>
      <c r="U16" s="44">
        <f t="shared" si="1"/>
        <v>0.1053</v>
      </c>
      <c r="V16" s="65">
        <f t="shared" si="20"/>
        <v>0.22333333333333336</v>
      </c>
      <c r="W16" s="181">
        <f t="shared" si="21"/>
        <v>0.15633333333333335</v>
      </c>
      <c r="X16" s="45">
        <v>14.21</v>
      </c>
      <c r="Y16" s="46">
        <f t="shared" si="2"/>
        <v>1.5716631480178277E-2</v>
      </c>
      <c r="Z16" s="47">
        <f t="shared" si="3"/>
        <v>0.67356076759061834</v>
      </c>
      <c r="AA16" s="9">
        <v>34.103999999999999</v>
      </c>
      <c r="AB16" s="11">
        <f t="shared" si="4"/>
        <v>4.5840175150519986E-3</v>
      </c>
      <c r="AC16" s="12">
        <f t="shared" si="13"/>
        <v>55.55694458128081</v>
      </c>
      <c r="AD16" s="13">
        <f t="shared" si="14"/>
        <v>14.044402664536921</v>
      </c>
      <c r="AE16" s="12">
        <f t="shared" si="5"/>
        <v>69.601347245817735</v>
      </c>
      <c r="AF16" s="12">
        <f t="shared" si="15"/>
        <v>22.48123516039913</v>
      </c>
      <c r="AG16" s="14">
        <f t="shared" si="6"/>
        <v>1.6111422973568919</v>
      </c>
      <c r="AH16" s="15">
        <f t="shared" si="16"/>
        <v>0.52039896204627611</v>
      </c>
      <c r="AI16" s="16">
        <f t="shared" si="7"/>
        <v>1.0402725128697606E-2</v>
      </c>
    </row>
    <row r="17" spans="1:43" ht="14.25" customHeight="1" x14ac:dyDescent="0.35">
      <c r="A17" t="s">
        <v>469</v>
      </c>
      <c r="B17" s="1" t="s">
        <v>477</v>
      </c>
      <c r="C17" s="1">
        <f t="shared" si="8"/>
        <v>2</v>
      </c>
      <c r="D17" t="s">
        <v>65</v>
      </c>
      <c r="E17" s="5" t="s">
        <v>37</v>
      </c>
      <c r="F17" s="5" t="s">
        <v>38</v>
      </c>
      <c r="G17" s="4" t="s">
        <v>39</v>
      </c>
      <c r="H17" s="4" t="s">
        <v>40</v>
      </c>
      <c r="I17" s="6" t="s">
        <v>46</v>
      </c>
      <c r="J17" s="37">
        <v>2</v>
      </c>
      <c r="K17" s="37">
        <v>2</v>
      </c>
      <c r="L17" s="37">
        <v>5</v>
      </c>
      <c r="M17" s="37">
        <v>4.5</v>
      </c>
      <c r="N17" s="37">
        <f t="shared" si="17"/>
        <v>9.6000000000000014</v>
      </c>
      <c r="O17" s="51">
        <f t="shared" si="18"/>
        <v>43.2</v>
      </c>
      <c r="P17" s="39">
        <f t="shared" si="10"/>
        <v>358.22458872413625</v>
      </c>
      <c r="Q17" s="1">
        <f t="shared" si="19"/>
        <v>2.3400000000000001E-2</v>
      </c>
      <c r="R17" s="7">
        <f t="shared" si="0"/>
        <v>410.25641025641033</v>
      </c>
      <c r="S17" s="1">
        <f t="shared" si="11"/>
        <v>4.5</v>
      </c>
      <c r="T17" s="39">
        <f t="shared" si="12"/>
        <v>200.18173489772732</v>
      </c>
      <c r="U17" s="44">
        <f t="shared" si="1"/>
        <v>0.1053</v>
      </c>
      <c r="V17" s="65">
        <f t="shared" si="20"/>
        <v>0.22333333333333336</v>
      </c>
      <c r="W17" s="181">
        <f t="shared" si="21"/>
        <v>0.15633333333333335</v>
      </c>
      <c r="X17" s="45">
        <v>14.21</v>
      </c>
      <c r="Y17" s="46">
        <f t="shared" si="2"/>
        <v>1.5716631480178277E-2</v>
      </c>
      <c r="Z17" s="47">
        <f t="shared" si="3"/>
        <v>0.67356076759061834</v>
      </c>
      <c r="AA17" s="9">
        <v>34.103999999999999</v>
      </c>
      <c r="AB17" s="11">
        <f t="shared" si="4"/>
        <v>4.5840175150519986E-3</v>
      </c>
      <c r="AC17" s="12">
        <f t="shared" si="13"/>
        <v>55.55694458128081</v>
      </c>
      <c r="AD17" s="13">
        <f t="shared" si="14"/>
        <v>14.044402664536921</v>
      </c>
      <c r="AE17" s="12">
        <f t="shared" si="5"/>
        <v>69.601347245817735</v>
      </c>
      <c r="AF17" s="12">
        <f t="shared" si="15"/>
        <v>22.48123516039913</v>
      </c>
      <c r="AG17" s="14">
        <f t="shared" si="6"/>
        <v>1.6111422973568919</v>
      </c>
      <c r="AH17" s="15">
        <f t="shared" si="16"/>
        <v>0.52039896204627611</v>
      </c>
      <c r="AI17" s="16">
        <f t="shared" si="7"/>
        <v>1.0402725128697606E-2</v>
      </c>
    </row>
    <row r="18" spans="1:43" ht="14.25" customHeight="1" x14ac:dyDescent="0.35">
      <c r="A18" s="52" t="s">
        <v>469</v>
      </c>
      <c r="B18" s="56" t="s">
        <v>477</v>
      </c>
      <c r="C18" s="56">
        <f t="shared" si="8"/>
        <v>2</v>
      </c>
      <c r="D18" s="52" t="s">
        <v>66</v>
      </c>
      <c r="E18" s="18" t="s">
        <v>37</v>
      </c>
      <c r="F18" s="18" t="s">
        <v>38</v>
      </c>
      <c r="G18" s="17" t="s">
        <v>39</v>
      </c>
      <c r="H18" s="17" t="s">
        <v>40</v>
      </c>
      <c r="I18" s="19" t="s">
        <v>46</v>
      </c>
      <c r="J18" s="53">
        <v>2</v>
      </c>
      <c r="K18" s="53">
        <v>2</v>
      </c>
      <c r="L18" s="53">
        <v>6</v>
      </c>
      <c r="M18" s="53">
        <v>4.5</v>
      </c>
      <c r="N18" s="53">
        <f t="shared" si="17"/>
        <v>9.6000000000000014</v>
      </c>
      <c r="O18" s="54">
        <f t="shared" si="18"/>
        <v>43.2</v>
      </c>
      <c r="P18" s="55">
        <f t="shared" si="10"/>
        <v>358.22458872413625</v>
      </c>
      <c r="Q18" s="56">
        <f t="shared" si="19"/>
        <v>2.3400000000000001E-2</v>
      </c>
      <c r="R18" s="20">
        <f t="shared" si="0"/>
        <v>410.25641025641033</v>
      </c>
      <c r="S18" s="56">
        <f t="shared" si="11"/>
        <v>4.5</v>
      </c>
      <c r="T18" s="57">
        <f t="shared" si="12"/>
        <v>200.18173489772732</v>
      </c>
      <c r="U18" s="58">
        <f t="shared" si="1"/>
        <v>0.1053</v>
      </c>
      <c r="V18" s="73">
        <f t="shared" si="20"/>
        <v>0.22333333333333336</v>
      </c>
      <c r="W18" s="182">
        <f t="shared" si="21"/>
        <v>0.15633333333333335</v>
      </c>
      <c r="X18" s="22">
        <v>14.21</v>
      </c>
      <c r="Y18" s="23">
        <f t="shared" si="2"/>
        <v>1.5716631480178277E-2</v>
      </c>
      <c r="Z18" s="23">
        <f t="shared" si="3"/>
        <v>0.67356076759061834</v>
      </c>
      <c r="AA18" s="59">
        <v>34.103999999999999</v>
      </c>
      <c r="AB18" s="60">
        <f t="shared" si="4"/>
        <v>4.5840175150519986E-3</v>
      </c>
      <c r="AC18" s="25">
        <f t="shared" si="13"/>
        <v>55.55694458128081</v>
      </c>
      <c r="AD18" s="26">
        <f t="shared" si="14"/>
        <v>14.044402664536921</v>
      </c>
      <c r="AE18" s="25">
        <f t="shared" si="5"/>
        <v>69.601347245817735</v>
      </c>
      <c r="AF18" s="25">
        <f t="shared" si="15"/>
        <v>22.48123516039913</v>
      </c>
      <c r="AG18" s="27">
        <f t="shared" si="6"/>
        <v>1.6111422973568919</v>
      </c>
      <c r="AH18" s="28">
        <f t="shared" si="16"/>
        <v>0.52039896204627611</v>
      </c>
      <c r="AI18" s="29">
        <f t="shared" si="7"/>
        <v>1.0402725128697606E-2</v>
      </c>
      <c r="AJ18" s="61">
        <v>0.2</v>
      </c>
      <c r="AK18" s="61">
        <v>0.17699999999999999</v>
      </c>
      <c r="AL18" s="31">
        <f>718150542*AK18/1448</f>
        <v>87784.976473756906</v>
      </c>
      <c r="AM18" s="31">
        <f>+AL18/52</f>
        <v>1688.1726244953252</v>
      </c>
      <c r="AN18" s="32">
        <f>74813*AJ18*0.81</f>
        <v>12119.706000000002</v>
      </c>
      <c r="AO18" s="33">
        <f>+AP18*AN18</f>
        <v>3914.6650380000005</v>
      </c>
      <c r="AP18" s="34">
        <v>0.32300000000000001</v>
      </c>
      <c r="AQ18" s="35">
        <f>+AO18/AL18</f>
        <v>4.4593792642528982E-2</v>
      </c>
    </row>
    <row r="19" spans="1:43" ht="14.25" customHeight="1" x14ac:dyDescent="0.35">
      <c r="A19" t="s">
        <v>470</v>
      </c>
      <c r="B19" s="1" t="s">
        <v>477</v>
      </c>
      <c r="C19" s="1">
        <f t="shared" si="8"/>
        <v>3</v>
      </c>
      <c r="D19" t="s">
        <v>67</v>
      </c>
      <c r="E19" s="9" t="s">
        <v>37</v>
      </c>
      <c r="F19" s="9" t="s">
        <v>38</v>
      </c>
      <c r="G19" t="s">
        <v>39</v>
      </c>
      <c r="H19" s="62" t="s">
        <v>40</v>
      </c>
      <c r="I19" s="63" t="s">
        <v>68</v>
      </c>
      <c r="J19" s="1">
        <v>3</v>
      </c>
      <c r="K19" s="1">
        <v>1</v>
      </c>
      <c r="L19" s="1">
        <v>6</v>
      </c>
      <c r="M19" s="1">
        <v>54</v>
      </c>
      <c r="N19" s="1">
        <v>4.1399999999999997</v>
      </c>
      <c r="O19" s="51">
        <f t="shared" si="18"/>
        <v>223.55999999999997</v>
      </c>
      <c r="P19" s="39">
        <f>+$AO$20*O19/SUM($O$19:$O$20)</f>
        <v>735.67740821271434</v>
      </c>
      <c r="Q19" s="40">
        <f>23.5*32.5*14/1000000</f>
        <v>1.0692500000000001E-2</v>
      </c>
      <c r="R19" s="64">
        <f t="shared" si="0"/>
        <v>387.18728080430202</v>
      </c>
      <c r="S19" s="1">
        <v>54</v>
      </c>
      <c r="T19" s="39">
        <f>+$AO$20*S19/SUM($S$19:$S$20)</f>
        <v>735.67740821271434</v>
      </c>
      <c r="U19" s="44">
        <f t="shared" si="1"/>
        <v>0.57739499999999999</v>
      </c>
      <c r="V19" s="1">
        <f>+(68+65.5)*100/10000</f>
        <v>1.335</v>
      </c>
      <c r="W19" s="65">
        <f>(51+70)*(68+65.5)*100/1000000</f>
        <v>1.6153500000000001</v>
      </c>
      <c r="X19" s="37">
        <v>14.21</v>
      </c>
      <c r="Y19" s="46">
        <f t="shared" si="2"/>
        <v>9.3947923997185073E-2</v>
      </c>
      <c r="Z19" s="46">
        <f t="shared" si="3"/>
        <v>0.35744265948556037</v>
      </c>
      <c r="AA19" s="37">
        <v>34.103999999999999</v>
      </c>
      <c r="AB19" s="66">
        <f t="shared" si="4"/>
        <v>4.7365411681914146E-2</v>
      </c>
      <c r="AC19" s="12">
        <f>+$AN$20*AB19</f>
        <v>251.72305793142596</v>
      </c>
      <c r="AD19" s="13">
        <f>(2.09*2.94*0.75+1.2*1.6*2.09)/AA19*AB19*$AN$20</f>
        <v>63.633808737723029</v>
      </c>
      <c r="AE19" s="12">
        <f t="shared" si="5"/>
        <v>315.35686666914899</v>
      </c>
      <c r="AF19" s="12">
        <f>+$AP$20*AE19</f>
        <v>101.86026793413512</v>
      </c>
      <c r="AG19" s="14">
        <f t="shared" si="6"/>
        <v>1.4106140037088433</v>
      </c>
      <c r="AH19" s="15">
        <f>+AG19*$AP$20</f>
        <v>0.45562832319795638</v>
      </c>
      <c r="AI19" s="67">
        <f t="shared" si="7"/>
        <v>5.38341025410101E-2</v>
      </c>
      <c r="AQ19" s="1"/>
    </row>
    <row r="20" spans="1:43" ht="14.25" customHeight="1" x14ac:dyDescent="0.35">
      <c r="A20" s="52" t="s">
        <v>470</v>
      </c>
      <c r="B20" s="56" t="s">
        <v>477</v>
      </c>
      <c r="C20" s="56">
        <f t="shared" si="8"/>
        <v>3</v>
      </c>
      <c r="D20" s="52" t="s">
        <v>69</v>
      </c>
      <c r="E20" s="53" t="s">
        <v>48</v>
      </c>
      <c r="F20" s="53" t="s">
        <v>70</v>
      </c>
      <c r="G20" s="68" t="s">
        <v>50</v>
      </c>
      <c r="H20" s="68" t="s">
        <v>51</v>
      </c>
      <c r="I20" s="69" t="s">
        <v>68</v>
      </c>
      <c r="J20" s="56">
        <v>3</v>
      </c>
      <c r="K20" s="56">
        <v>2</v>
      </c>
      <c r="L20" s="56">
        <v>6</v>
      </c>
      <c r="M20" s="56">
        <v>72</v>
      </c>
      <c r="N20" s="56">
        <v>4.1399999999999997</v>
      </c>
      <c r="O20" s="70">
        <f t="shared" si="18"/>
        <v>298.08</v>
      </c>
      <c r="P20" s="57">
        <f>+$AO$20*O20/SUM($O$19:$O$20)</f>
        <v>980.90321095028571</v>
      </c>
      <c r="Q20" s="71">
        <f>23.5*32.5*14/1000000</f>
        <v>1.0692500000000001E-2</v>
      </c>
      <c r="R20" s="72">
        <f t="shared" si="0"/>
        <v>387.18728080430202</v>
      </c>
      <c r="S20" s="56">
        <v>72</v>
      </c>
      <c r="T20" s="57">
        <f>+$AO$20*S20/SUM($S$19:$S$20)</f>
        <v>980.90321095028582</v>
      </c>
      <c r="U20" s="58">
        <f t="shared" si="1"/>
        <v>0.76985999999999999</v>
      </c>
      <c r="V20" s="56">
        <f>+(68+65.5)*100/10000</f>
        <v>1.335</v>
      </c>
      <c r="W20" s="73">
        <f>(51+70)*(68+65.5)*100/1000000</f>
        <v>1.6153500000000001</v>
      </c>
      <c r="X20" s="53">
        <v>14.21</v>
      </c>
      <c r="Y20" s="74">
        <f t="shared" si="2"/>
        <v>9.3947923997185073E-2</v>
      </c>
      <c r="Z20" s="74">
        <f t="shared" si="3"/>
        <v>0.47659021264741386</v>
      </c>
      <c r="AA20" s="75">
        <v>34.103999999999999</v>
      </c>
      <c r="AB20" s="24">
        <f t="shared" si="4"/>
        <v>4.7365411681914146E-2</v>
      </c>
      <c r="AC20" s="25">
        <f>+$AN$20*AB20</f>
        <v>251.72305793142596</v>
      </c>
      <c r="AD20" s="26">
        <f>(2.09*2.94*0.75+1.2*1.6*2.09)/AA20*AB20*$AN$20</f>
        <v>63.633808737723029</v>
      </c>
      <c r="AE20" s="25">
        <f t="shared" si="5"/>
        <v>315.35686666914899</v>
      </c>
      <c r="AF20" s="25">
        <f>+$AP$20*AE20</f>
        <v>101.86026793413512</v>
      </c>
      <c r="AG20" s="27">
        <f t="shared" si="6"/>
        <v>1.0579605027816326</v>
      </c>
      <c r="AH20" s="28">
        <f>+AG20*$AP$20</f>
        <v>0.34172124239846735</v>
      </c>
      <c r="AI20" s="29">
        <f t="shared" si="7"/>
        <v>7.1778803388013471E-2</v>
      </c>
      <c r="AJ20" s="61">
        <v>8.77E-2</v>
      </c>
      <c r="AK20" s="76">
        <v>5.1900000000000002E-2</v>
      </c>
      <c r="AL20" s="31">
        <f>718150542*AK20/1448</f>
        <v>25740.340559254142</v>
      </c>
      <c r="AM20" s="31">
        <f>+AL20/52</f>
        <v>495.00654921642581</v>
      </c>
      <c r="AN20" s="32">
        <f>74813*AJ20*0.81</f>
        <v>5314.4910810000001</v>
      </c>
      <c r="AO20" s="33">
        <f>+AP20*AN20</f>
        <v>1716.5806191630002</v>
      </c>
      <c r="AP20" s="34">
        <v>0.32300000000000001</v>
      </c>
      <c r="AQ20" s="35">
        <f>+AO20/AL20</f>
        <v>6.668834140758316E-2</v>
      </c>
    </row>
    <row r="21" spans="1:43" ht="14.25" customHeight="1" x14ac:dyDescent="0.35">
      <c r="A21" t="s">
        <v>471</v>
      </c>
      <c r="B21" s="1" t="s">
        <v>477</v>
      </c>
      <c r="C21" s="1">
        <f t="shared" si="8"/>
        <v>4</v>
      </c>
      <c r="D21" t="s">
        <v>455</v>
      </c>
      <c r="E21" s="38" t="s">
        <v>48</v>
      </c>
      <c r="F21" s="38" t="s">
        <v>49</v>
      </c>
      <c r="G21" t="s">
        <v>50</v>
      </c>
      <c r="H21" s="36" t="s">
        <v>51</v>
      </c>
      <c r="I21" s="77" t="s">
        <v>458</v>
      </c>
      <c r="J21" s="1">
        <v>4</v>
      </c>
      <c r="K21" s="180" t="s">
        <v>460</v>
      </c>
      <c r="L21" s="1" t="s">
        <v>463</v>
      </c>
      <c r="M21" s="37">
        <v>60</v>
      </c>
      <c r="N21" s="1">
        <v>5.5</v>
      </c>
      <c r="O21" s="178">
        <f t="shared" si="18"/>
        <v>330</v>
      </c>
      <c r="P21" s="39">
        <f>+$AO$26*O21/SUM($O$21:$O$26)</f>
        <v>507.244638255756</v>
      </c>
      <c r="Q21" s="1">
        <f>+(39*25*26)/1000000</f>
        <v>2.5350000000000001E-2</v>
      </c>
      <c r="R21" s="177">
        <f t="shared" si="0"/>
        <v>216.96252465483235</v>
      </c>
      <c r="S21" s="37">
        <v>60</v>
      </c>
      <c r="T21" s="39">
        <f>+$AO$26*S21/SUM($S$21:$S$26)</f>
        <v>531.54626774309997</v>
      </c>
      <c r="U21" s="44">
        <f t="shared" si="1"/>
        <v>1.5210000000000001</v>
      </c>
      <c r="V21" s="1">
        <f>+(2.95*1.02+0.75*1.02)</f>
        <v>3.7740000000000005</v>
      </c>
      <c r="W21" s="1">
        <v>2.6418000000000004</v>
      </c>
      <c r="X21" s="37">
        <v>14.21</v>
      </c>
      <c r="Y21" s="46">
        <f t="shared" si="2"/>
        <v>0.2655876143560873</v>
      </c>
      <c r="Z21" s="46">
        <f t="shared" si="3"/>
        <v>0.5757438110379286</v>
      </c>
      <c r="AA21" s="37">
        <v>34.103999999999999</v>
      </c>
      <c r="AB21" s="66">
        <f t="shared" si="4"/>
        <v>7.7463054187192126E-2</v>
      </c>
      <c r="AC21" s="12">
        <f>+$AN$26*AB21</f>
        <v>382.43217344752469</v>
      </c>
      <c r="AD21" s="13">
        <f>(2.09*2.94*0.75+1.2*1.6*2.09)/AA21*AB21*$AN$26</f>
        <v>96.676148702042937</v>
      </c>
      <c r="AE21" s="12">
        <f t="shared" si="5"/>
        <v>479.10832214956764</v>
      </c>
      <c r="AF21" s="12">
        <f>+$AP$26*AE21</f>
        <v>154.75198805431035</v>
      </c>
      <c r="AG21" s="14">
        <f t="shared" si="6"/>
        <v>1.4518434004532352</v>
      </c>
      <c r="AH21" s="15">
        <f>+AG21*$AP$26</f>
        <v>0.46894541834639497</v>
      </c>
      <c r="AI21" s="16">
        <f t="shared" si="7"/>
        <v>7.9465261399773376E-2</v>
      </c>
      <c r="AJ21" s="1"/>
      <c r="AK21" s="78"/>
      <c r="AL21" s="1"/>
    </row>
    <row r="22" spans="1:43" ht="14.25" customHeight="1" x14ac:dyDescent="0.35">
      <c r="A22" t="s">
        <v>471</v>
      </c>
      <c r="B22" s="1" t="s">
        <v>477</v>
      </c>
      <c r="C22" s="1">
        <f t="shared" si="8"/>
        <v>4</v>
      </c>
      <c r="D22" t="s">
        <v>457</v>
      </c>
      <c r="E22" s="37" t="s">
        <v>48</v>
      </c>
      <c r="F22" s="38" t="s">
        <v>49</v>
      </c>
      <c r="G22" t="s">
        <v>50</v>
      </c>
      <c r="H22" s="49" t="s">
        <v>51</v>
      </c>
      <c r="I22" s="63" t="s">
        <v>458</v>
      </c>
      <c r="J22" s="1">
        <v>4</v>
      </c>
      <c r="K22" s="1">
        <v>2</v>
      </c>
      <c r="L22" s="1">
        <v>3</v>
      </c>
      <c r="M22" s="37">
        <v>12</v>
      </c>
      <c r="N22" s="1">
        <v>4</v>
      </c>
      <c r="O22" s="178">
        <f t="shared" si="18"/>
        <v>48</v>
      </c>
      <c r="P22" s="39">
        <f t="shared" ref="P22:P26" si="22">+$AO$26*O22/SUM($O$21:$O$26)</f>
        <v>73.781038291746341</v>
      </c>
      <c r="Q22" s="1">
        <f t="shared" ref="Q22:Q23" si="23">+(39*25*26)/1000000</f>
        <v>2.5350000000000001E-2</v>
      </c>
      <c r="R22" s="64">
        <f t="shared" si="0"/>
        <v>157.79092702169623</v>
      </c>
      <c r="S22" s="37">
        <v>12</v>
      </c>
      <c r="T22" s="39">
        <f t="shared" ref="T22:T26" si="24">+$AO$26*S22/SUM($S$21:$S$26)</f>
        <v>106.30925354862001</v>
      </c>
      <c r="U22" s="44">
        <f t="shared" si="1"/>
        <v>0.30420000000000003</v>
      </c>
      <c r="V22" s="1">
        <f>+(0.75*1.02)</f>
        <v>0.76500000000000001</v>
      </c>
      <c r="W22" s="1">
        <v>0.53549999999999998</v>
      </c>
      <c r="X22" s="37">
        <v>14.21</v>
      </c>
      <c r="Y22" s="46">
        <f t="shared" si="2"/>
        <v>5.3835327234342013E-2</v>
      </c>
      <c r="Z22" s="46">
        <f t="shared" si="3"/>
        <v>0.56806722689075639</v>
      </c>
      <c r="AA22" s="37">
        <v>34.103999999999999</v>
      </c>
      <c r="AB22" s="66">
        <f t="shared" si="4"/>
        <v>1.5701970443349752E-2</v>
      </c>
      <c r="AC22" s="12">
        <f t="shared" ref="AC22:AC26" si="25">+$AN$26*AB22</f>
        <v>77.520035158282013</v>
      </c>
      <c r="AD22" s="13">
        <f t="shared" ref="AD22:AD26" si="26">(2.09*2.94*0.75+1.2*1.6*2.09)/AA22*AB22*$AN$26</f>
        <v>19.596516628792486</v>
      </c>
      <c r="AE22" s="12">
        <f t="shared" si="5"/>
        <v>97.116551787074499</v>
      </c>
      <c r="AF22" s="12">
        <f t="shared" ref="AF22:AF26" si="27">+$AP$26*AE22</f>
        <v>31.368646227225064</v>
      </c>
      <c r="AG22" s="14">
        <f t="shared" si="6"/>
        <v>2.0232614955640522</v>
      </c>
      <c r="AH22" s="15">
        <f>+AG22*$AP$26</f>
        <v>0.65351346306718894</v>
      </c>
      <c r="AI22" s="67">
        <f t="shared" si="7"/>
        <v>1.1558583476330674E-2</v>
      </c>
      <c r="AJ22" s="1"/>
      <c r="AK22" s="78"/>
      <c r="AL22" s="1"/>
    </row>
    <row r="23" spans="1:43" ht="14.25" customHeight="1" x14ac:dyDescent="0.35">
      <c r="A23" t="s">
        <v>471</v>
      </c>
      <c r="B23" s="1" t="s">
        <v>477</v>
      </c>
      <c r="C23" s="1">
        <f t="shared" si="8"/>
        <v>4</v>
      </c>
      <c r="D23" t="s">
        <v>474</v>
      </c>
      <c r="E23" s="37" t="s">
        <v>37</v>
      </c>
      <c r="F23" s="37" t="s">
        <v>38</v>
      </c>
      <c r="G23" t="s">
        <v>39</v>
      </c>
      <c r="H23" s="49" t="s">
        <v>40</v>
      </c>
      <c r="I23" s="63" t="s">
        <v>458</v>
      </c>
      <c r="J23" s="1">
        <v>4</v>
      </c>
      <c r="K23" s="1">
        <v>1</v>
      </c>
      <c r="L23" s="179" t="s">
        <v>462</v>
      </c>
      <c r="M23" s="37">
        <v>37</v>
      </c>
      <c r="N23" s="1">
        <v>5.0999999999999996</v>
      </c>
      <c r="O23" s="178">
        <f t="shared" si="18"/>
        <v>188.7</v>
      </c>
      <c r="P23" s="39">
        <f t="shared" si="22"/>
        <v>290.05170678442772</v>
      </c>
      <c r="Q23" s="1">
        <f t="shared" si="23"/>
        <v>2.5350000000000001E-2</v>
      </c>
      <c r="R23" s="64">
        <f t="shared" si="0"/>
        <v>201.18343195266269</v>
      </c>
      <c r="S23" s="37">
        <v>37</v>
      </c>
      <c r="T23" s="39">
        <f t="shared" si="24"/>
        <v>327.78686510824502</v>
      </c>
      <c r="U23" s="44">
        <f t="shared" si="1"/>
        <v>0.93795000000000006</v>
      </c>
      <c r="V23" s="1">
        <f>+(2.95*1.02)</f>
        <v>3.0090000000000003</v>
      </c>
      <c r="W23" s="1">
        <v>1.5646800000000003</v>
      </c>
      <c r="X23" s="37">
        <v>14.21</v>
      </c>
      <c r="Y23" s="46">
        <f t="shared" si="2"/>
        <v>0.21175228712174526</v>
      </c>
      <c r="Z23" s="46">
        <f t="shared" si="3"/>
        <v>0.59945164506480553</v>
      </c>
      <c r="AA23" s="37">
        <v>34.103999999999999</v>
      </c>
      <c r="AB23" s="66">
        <f t="shared" si="4"/>
        <v>4.5879662209711479E-2</v>
      </c>
      <c r="AC23" s="12">
        <f t="shared" si="25"/>
        <v>226.50615987200885</v>
      </c>
      <c r="AD23" s="13">
        <f t="shared" si="26"/>
        <v>57.259155254414623</v>
      </c>
      <c r="AE23" s="12">
        <f t="shared" si="5"/>
        <v>283.7653151264235</v>
      </c>
      <c r="AF23" s="12">
        <f t="shared" si="27"/>
        <v>91.656196785834794</v>
      </c>
      <c r="AG23" s="14">
        <f t="shared" si="6"/>
        <v>1.5037907531871941</v>
      </c>
      <c r="AH23" s="15">
        <f t="shared" ref="AH23:AH26" si="28">+AG23*$AP$26</f>
        <v>0.4857244132794637</v>
      </c>
      <c r="AI23" s="67">
        <f t="shared" si="7"/>
        <v>4.5439681291324953E-2</v>
      </c>
      <c r="AJ23" s="1"/>
      <c r="AK23" s="78"/>
      <c r="AL23" s="1"/>
    </row>
    <row r="24" spans="1:43" ht="14.25" customHeight="1" x14ac:dyDescent="0.35">
      <c r="A24" t="s">
        <v>454</v>
      </c>
      <c r="B24" s="1" t="s">
        <v>477</v>
      </c>
      <c r="C24" s="1">
        <f t="shared" si="8"/>
        <v>4</v>
      </c>
      <c r="D24" t="s">
        <v>454</v>
      </c>
      <c r="E24" s="37" t="s">
        <v>37</v>
      </c>
      <c r="F24" s="37" t="s">
        <v>38</v>
      </c>
      <c r="G24" t="s">
        <v>39</v>
      </c>
      <c r="H24" s="49" t="s">
        <v>40</v>
      </c>
      <c r="I24" s="63" t="s">
        <v>458</v>
      </c>
      <c r="J24" s="1">
        <v>4</v>
      </c>
      <c r="K24" s="1">
        <v>3</v>
      </c>
      <c r="L24" s="1">
        <v>4</v>
      </c>
      <c r="M24" s="37">
        <v>27</v>
      </c>
      <c r="N24" s="1">
        <v>6.27</v>
      </c>
      <c r="O24" s="178">
        <f t="shared" si="18"/>
        <v>169.29</v>
      </c>
      <c r="P24" s="39">
        <f t="shared" si="22"/>
        <v>260.21649942520281</v>
      </c>
      <c r="Q24" s="40">
        <f>+(45*23*21.5)/1000000</f>
        <v>2.2252500000000001E-2</v>
      </c>
      <c r="R24" s="64">
        <f t="shared" si="0"/>
        <v>281.76609369733734</v>
      </c>
      <c r="S24" s="37">
        <v>27</v>
      </c>
      <c r="T24" s="39">
        <f t="shared" si="24"/>
        <v>239.195820484395</v>
      </c>
      <c r="U24" s="44">
        <f t="shared" si="1"/>
        <v>0.6008175</v>
      </c>
      <c r="V24" s="1">
        <f>+(0.75*1.02)</f>
        <v>0.76500000000000001</v>
      </c>
      <c r="W24" s="1">
        <v>0.53549999999999998</v>
      </c>
      <c r="X24" s="37">
        <v>14.21</v>
      </c>
      <c r="Y24" s="46">
        <f t="shared" si="2"/>
        <v>5.3835327234342013E-2</v>
      </c>
      <c r="Z24" s="189">
        <f t="shared" si="3"/>
        <v>1.1219747899159664</v>
      </c>
      <c r="AA24" s="37">
        <v>34.103999999999999</v>
      </c>
      <c r="AB24" s="66">
        <f t="shared" si="4"/>
        <v>1.5701970443349752E-2</v>
      </c>
      <c r="AC24" s="12">
        <f t="shared" si="25"/>
        <v>77.520035158282013</v>
      </c>
      <c r="AD24" s="13">
        <f t="shared" si="26"/>
        <v>19.596516628792486</v>
      </c>
      <c r="AE24" s="12">
        <f t="shared" si="5"/>
        <v>97.116551787074499</v>
      </c>
      <c r="AF24" s="12">
        <f t="shared" si="27"/>
        <v>31.368646227225064</v>
      </c>
      <c r="AG24" s="14">
        <f t="shared" si="6"/>
        <v>0.5736697488751521</v>
      </c>
      <c r="AH24" s="15">
        <f t="shared" si="28"/>
        <v>0.18529532888667413</v>
      </c>
      <c r="AI24" s="67">
        <f t="shared" si="7"/>
        <v>4.0765679098083742E-2</v>
      </c>
    </row>
    <row r="25" spans="1:43" ht="14.25" customHeight="1" x14ac:dyDescent="0.35">
      <c r="A25" t="s">
        <v>453</v>
      </c>
      <c r="B25" s="1" t="s">
        <v>477</v>
      </c>
      <c r="C25" s="1">
        <f t="shared" si="8"/>
        <v>4</v>
      </c>
      <c r="D25" t="s">
        <v>453</v>
      </c>
      <c r="E25" s="5" t="s">
        <v>55</v>
      </c>
      <c r="F25" s="37" t="s">
        <v>56</v>
      </c>
      <c r="G25" t="s">
        <v>57</v>
      </c>
      <c r="H25" s="49" t="s">
        <v>58</v>
      </c>
      <c r="I25" s="63" t="s">
        <v>458</v>
      </c>
      <c r="J25" s="1">
        <v>4</v>
      </c>
      <c r="K25" s="1">
        <v>1</v>
      </c>
      <c r="L25" s="1">
        <v>4</v>
      </c>
      <c r="M25" s="37">
        <v>18</v>
      </c>
      <c r="N25" s="1">
        <v>2.88</v>
      </c>
      <c r="O25" s="178">
        <f t="shared" si="18"/>
        <v>51.839999999999996</v>
      </c>
      <c r="P25" s="39">
        <f t="shared" si="22"/>
        <v>79.683521355086029</v>
      </c>
      <c r="Q25" s="40">
        <f>+(31.5*21.5*24.5)/1000000</f>
        <v>1.6592625E-2</v>
      </c>
      <c r="R25" s="64">
        <f t="shared" si="0"/>
        <v>173.57108956539426</v>
      </c>
      <c r="S25" s="37">
        <v>18</v>
      </c>
      <c r="T25" s="39">
        <f t="shared" si="24"/>
        <v>159.46388032293001</v>
      </c>
      <c r="U25" s="44">
        <f t="shared" si="1"/>
        <v>0.29866725</v>
      </c>
      <c r="V25" s="1">
        <f>+(0.75*1.02)</f>
        <v>0.76500000000000001</v>
      </c>
      <c r="W25" s="1">
        <v>0.39780000000000004</v>
      </c>
      <c r="X25" s="37">
        <v>14.21</v>
      </c>
      <c r="Y25" s="46">
        <f t="shared" si="2"/>
        <v>5.3835327234342013E-2</v>
      </c>
      <c r="Z25" s="46">
        <f t="shared" si="3"/>
        <v>0.75079751131221706</v>
      </c>
      <c r="AA25" s="37">
        <v>34.103999999999999</v>
      </c>
      <c r="AB25" s="66">
        <f t="shared" si="4"/>
        <v>1.1664320900774103E-2</v>
      </c>
      <c r="AC25" s="12">
        <f t="shared" si="25"/>
        <v>57.586311831866652</v>
      </c>
      <c r="AD25" s="13">
        <f t="shared" si="26"/>
        <v>14.557412352817277</v>
      </c>
      <c r="AE25" s="12">
        <f t="shared" si="5"/>
        <v>72.143724184683933</v>
      </c>
      <c r="AF25" s="12">
        <f t="shared" si="27"/>
        <v>23.302422911652911</v>
      </c>
      <c r="AG25" s="14">
        <f t="shared" si="6"/>
        <v>1.3916613461551686</v>
      </c>
      <c r="AH25" s="15">
        <f t="shared" si="28"/>
        <v>0.44950661480811949</v>
      </c>
      <c r="AI25" s="67">
        <f t="shared" si="7"/>
        <v>1.2483270154437126E-2</v>
      </c>
    </row>
    <row r="26" spans="1:43" ht="14.25" customHeight="1" x14ac:dyDescent="0.35">
      <c r="A26" s="52" t="s">
        <v>469</v>
      </c>
      <c r="B26" s="56" t="s">
        <v>477</v>
      </c>
      <c r="C26" s="56">
        <f t="shared" si="8"/>
        <v>4</v>
      </c>
      <c r="D26" s="52" t="s">
        <v>64</v>
      </c>
      <c r="E26" s="18" t="s">
        <v>37</v>
      </c>
      <c r="F26" s="18" t="s">
        <v>38</v>
      </c>
      <c r="G26" s="17" t="s">
        <v>39</v>
      </c>
      <c r="H26" s="17" t="s">
        <v>40</v>
      </c>
      <c r="I26" s="69" t="s">
        <v>458</v>
      </c>
      <c r="J26" s="56">
        <v>4</v>
      </c>
      <c r="K26" s="56">
        <v>3</v>
      </c>
      <c r="L26" s="188" t="s">
        <v>464</v>
      </c>
      <c r="M26" s="53">
        <v>26</v>
      </c>
      <c r="N26" s="56">
        <v>9.6</v>
      </c>
      <c r="O26" s="70">
        <f t="shared" si="18"/>
        <v>249.6</v>
      </c>
      <c r="P26" s="57">
        <f t="shared" si="22"/>
        <v>383.66139911708092</v>
      </c>
      <c r="Q26" s="56">
        <f t="shared" ref="Q26" si="29">39*20*30/1000000</f>
        <v>2.3400000000000001E-2</v>
      </c>
      <c r="R26" s="20">
        <f t="shared" si="0"/>
        <v>410.25641025641022</v>
      </c>
      <c r="S26" s="53">
        <v>26</v>
      </c>
      <c r="T26" s="57">
        <f t="shared" si="24"/>
        <v>230.33671602201002</v>
      </c>
      <c r="U26" s="58">
        <f t="shared" si="1"/>
        <v>0.60840000000000005</v>
      </c>
      <c r="V26" s="56">
        <f>1.34*1.02</f>
        <v>1.3668</v>
      </c>
      <c r="W26" s="56">
        <v>0.95675999999999994</v>
      </c>
      <c r="X26" s="53">
        <v>14.21</v>
      </c>
      <c r="Y26" s="74">
        <f t="shared" si="2"/>
        <v>9.6185784658691056E-2</v>
      </c>
      <c r="Z26" s="74">
        <f t="shared" si="3"/>
        <v>0.63589614950457807</v>
      </c>
      <c r="AA26" s="53">
        <v>34.103999999999999</v>
      </c>
      <c r="AB26" s="24">
        <f t="shared" si="4"/>
        <v>2.8054187192118225E-2</v>
      </c>
      <c r="AC26" s="25">
        <f t="shared" si="25"/>
        <v>138.50246281613053</v>
      </c>
      <c r="AD26" s="26">
        <f t="shared" si="26"/>
        <v>35.012443043442573</v>
      </c>
      <c r="AE26" s="25">
        <f t="shared" si="5"/>
        <v>173.5149058595731</v>
      </c>
      <c r="AF26" s="25">
        <f t="shared" si="27"/>
        <v>56.045314592642114</v>
      </c>
      <c r="AG26" s="27">
        <f t="shared" si="6"/>
        <v>0.69517189847585381</v>
      </c>
      <c r="AH26" s="28">
        <f t="shared" si="28"/>
        <v>0.22454052320770079</v>
      </c>
      <c r="AI26" s="29">
        <f t="shared" si="7"/>
        <v>6.0104634076919496E-2</v>
      </c>
      <c r="AJ26" s="61">
        <f>0.074+0.00747</f>
        <v>8.1470000000000001E-2</v>
      </c>
      <c r="AK26" s="76">
        <f>0.0655+0.0237</f>
        <v>8.9200000000000002E-2</v>
      </c>
      <c r="AL26" s="31">
        <f>718150542*AK26/1448</f>
        <v>44239.660460220992</v>
      </c>
      <c r="AM26" s="31">
        <f>+AL26/52</f>
        <v>850.76270115809598</v>
      </c>
      <c r="AN26" s="32">
        <f>74813*AJ26*0.81</f>
        <v>4936.9622391000003</v>
      </c>
      <c r="AO26" s="33">
        <f>+AP26*AN26</f>
        <v>1594.6388032293</v>
      </c>
      <c r="AP26" s="34">
        <v>0.32300000000000001</v>
      </c>
      <c r="AQ26" s="35">
        <f>+AO26/AL26</f>
        <v>3.6045457551898544E-2</v>
      </c>
    </row>
    <row r="27" spans="1:43" ht="14.25" customHeight="1" x14ac:dyDescent="0.35">
      <c r="A27" t="s">
        <v>452</v>
      </c>
      <c r="B27" s="1" t="s">
        <v>477</v>
      </c>
      <c r="C27" s="1">
        <f t="shared" si="8"/>
        <v>3</v>
      </c>
      <c r="D27" s="183" t="s">
        <v>452</v>
      </c>
      <c r="E27" s="183"/>
      <c r="F27" s="183"/>
      <c r="G27" s="183"/>
      <c r="H27" s="183"/>
      <c r="I27" s="184" t="s">
        <v>68</v>
      </c>
      <c r="J27" s="185">
        <v>3</v>
      </c>
      <c r="K27" s="185">
        <v>3</v>
      </c>
      <c r="L27" s="186" t="s">
        <v>465</v>
      </c>
      <c r="M27" s="183"/>
      <c r="N27" s="183"/>
      <c r="O27" s="183"/>
      <c r="P27" s="183"/>
      <c r="Q27" s="183"/>
      <c r="R27" s="183"/>
      <c r="S27" s="183"/>
      <c r="T27" s="183"/>
      <c r="U27" s="183"/>
      <c r="V27" s="185">
        <v>1.34</v>
      </c>
      <c r="W27" s="185">
        <f>+V27*0.7</f>
        <v>0.93799999999999994</v>
      </c>
      <c r="X27" s="187">
        <v>14.21</v>
      </c>
      <c r="Y27" s="183"/>
      <c r="Z27" s="183"/>
      <c r="AA27" s="37">
        <v>34.103999999999999</v>
      </c>
      <c r="AB27" s="183"/>
      <c r="AC27" s="185"/>
      <c r="AD27" s="183"/>
      <c r="AE27" s="183"/>
      <c r="AF27" s="183"/>
      <c r="AG27" s="183"/>
      <c r="AH27" s="183"/>
      <c r="AI27" s="183"/>
      <c r="AJ27" s="183"/>
      <c r="AK27" s="183"/>
      <c r="AL27" s="183"/>
      <c r="AM27" s="183"/>
      <c r="AN27" s="183"/>
      <c r="AO27" s="183"/>
      <c r="AP27" s="183"/>
      <c r="AQ27" s="183"/>
    </row>
    <row r="28" spans="1:43" ht="14.25" customHeight="1" x14ac:dyDescent="0.35">
      <c r="J28" s="1"/>
      <c r="K28" s="1"/>
      <c r="L28" s="1"/>
    </row>
    <row r="29" spans="1:43" ht="14.25" customHeight="1" x14ac:dyDescent="0.35">
      <c r="J29" s="1"/>
      <c r="K29" s="1"/>
      <c r="L29" s="1"/>
    </row>
    <row r="30" spans="1:43" ht="14.25" customHeight="1" x14ac:dyDescent="0.35">
      <c r="J30" s="1"/>
      <c r="K30" s="1"/>
      <c r="L30" s="1"/>
    </row>
    <row r="1048576" spans="15:15" ht="14.25" customHeight="1" x14ac:dyDescent="0.35">
      <c r="O1048576">
        <f>SUM(O2:O1048575)</f>
        <v>4152.7579999999989</v>
      </c>
    </row>
  </sheetData>
  <pageMargins left="0.7" right="0.7" top="0.75" bottom="0.75"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Q59"/>
  <sheetViews>
    <sheetView topLeftCell="F9" zoomScaleNormal="100" workbookViewId="0">
      <selection activeCell="K17" sqref="K17"/>
    </sheetView>
  </sheetViews>
  <sheetFormatPr baseColWidth="10" defaultColWidth="10.6328125" defaultRowHeight="14.5" x14ac:dyDescent="0.35"/>
  <cols>
    <col min="1" max="10" width="19" customWidth="1"/>
    <col min="11" max="11" width="21.54296875" customWidth="1"/>
    <col min="12" max="12" width="16.36328125" customWidth="1"/>
  </cols>
  <sheetData>
    <row r="1" spans="1:17" ht="55.5" customHeight="1" x14ac:dyDescent="0.4">
      <c r="A1" s="117" t="s">
        <v>153</v>
      </c>
      <c r="L1" s="118"/>
    </row>
    <row r="2" spans="1:17" ht="27" customHeight="1" x14ac:dyDescent="0.35">
      <c r="A2" s="119" t="s">
        <v>154</v>
      </c>
    </row>
    <row r="3" spans="1:17" ht="14.25" customHeight="1" x14ac:dyDescent="0.35">
      <c r="A3" s="119" t="s">
        <v>155</v>
      </c>
    </row>
    <row r="5" spans="1:17" ht="27.75" customHeight="1" x14ac:dyDescent="0.35">
      <c r="A5" s="120" t="s">
        <v>156</v>
      </c>
      <c r="B5" s="120" t="s">
        <v>157</v>
      </c>
      <c r="C5" s="120" t="s">
        <v>158</v>
      </c>
      <c r="D5" s="120" t="s">
        <v>159</v>
      </c>
      <c r="E5" s="120" t="s">
        <v>160</v>
      </c>
      <c r="F5" s="120" t="s">
        <v>161</v>
      </c>
      <c r="G5" s="120" t="s">
        <v>162</v>
      </c>
      <c r="H5" s="120" t="s">
        <v>163</v>
      </c>
      <c r="I5" s="120" t="s">
        <v>164</v>
      </c>
      <c r="J5" s="120" t="s">
        <v>165</v>
      </c>
      <c r="K5" s="120" t="s">
        <v>166</v>
      </c>
      <c r="M5" s="121" t="s">
        <v>156</v>
      </c>
      <c r="N5" s="121" t="s">
        <v>160</v>
      </c>
      <c r="O5" s="121" t="s">
        <v>167</v>
      </c>
      <c r="P5" s="121" t="s">
        <v>168</v>
      </c>
      <c r="Q5" s="121" t="s">
        <v>169</v>
      </c>
    </row>
    <row r="6" spans="1:17" ht="27.75" customHeight="1" x14ac:dyDescent="0.35">
      <c r="A6" s="122" t="s">
        <v>170</v>
      </c>
      <c r="B6" s="123" t="s">
        <v>171</v>
      </c>
      <c r="C6" s="123" t="s">
        <v>172</v>
      </c>
      <c r="D6" s="124">
        <v>31</v>
      </c>
      <c r="E6" s="124">
        <v>5122</v>
      </c>
      <c r="F6" s="125">
        <v>1789176.8</v>
      </c>
      <c r="G6" s="123" t="s">
        <v>173</v>
      </c>
      <c r="H6" s="125">
        <v>1355</v>
      </c>
      <c r="I6" s="126">
        <v>1320.4256826568301</v>
      </c>
      <c r="J6" s="127">
        <v>82.156844398700798</v>
      </c>
      <c r="K6" s="128">
        <v>0.25779493999547598</v>
      </c>
      <c r="M6" s="123" t="s">
        <v>170</v>
      </c>
      <c r="N6" s="129">
        <v>5122</v>
      </c>
      <c r="O6" s="128">
        <v>0.25779493999547598</v>
      </c>
      <c r="P6" s="129">
        <v>5122</v>
      </c>
      <c r="Q6" s="126">
        <v>1320.4256826568301</v>
      </c>
    </row>
    <row r="7" spans="1:17" ht="27.75" customHeight="1" x14ac:dyDescent="0.35">
      <c r="A7" s="122" t="s">
        <v>174</v>
      </c>
      <c r="B7" s="123" t="s">
        <v>172</v>
      </c>
      <c r="C7" s="123" t="s">
        <v>175</v>
      </c>
      <c r="D7" s="124">
        <v>30</v>
      </c>
      <c r="E7" s="124">
        <v>6457</v>
      </c>
      <c r="F7" s="125">
        <v>2305849.4</v>
      </c>
      <c r="G7" s="123" t="s">
        <v>176</v>
      </c>
      <c r="H7" s="125">
        <v>1495</v>
      </c>
      <c r="I7" s="126">
        <v>1542.37418060201</v>
      </c>
      <c r="J7" s="127">
        <v>103.570235119565</v>
      </c>
      <c r="K7" s="128">
        <v>0.238868542760106</v>
      </c>
      <c r="M7" s="123" t="s">
        <v>174</v>
      </c>
      <c r="N7" s="129">
        <v>6457</v>
      </c>
      <c r="O7" s="128">
        <v>0.238868542760106</v>
      </c>
      <c r="P7" s="129">
        <v>11579</v>
      </c>
      <c r="Q7" s="126">
        <v>2862.7998632588301</v>
      </c>
    </row>
    <row r="8" spans="1:17" ht="27.75" customHeight="1" x14ac:dyDescent="0.35">
      <c r="A8" s="122" t="s">
        <v>177</v>
      </c>
      <c r="B8" s="123" t="s">
        <v>175</v>
      </c>
      <c r="C8" s="123" t="s">
        <v>178</v>
      </c>
      <c r="D8" s="124">
        <v>33</v>
      </c>
      <c r="E8" s="124">
        <v>7492</v>
      </c>
      <c r="F8" s="125">
        <v>2688749.8</v>
      </c>
      <c r="G8" s="123" t="s">
        <v>179</v>
      </c>
      <c r="H8" s="125">
        <v>1475</v>
      </c>
      <c r="I8" s="126">
        <v>1822.88122033898</v>
      </c>
      <c r="J8" s="127">
        <v>120.171627925628</v>
      </c>
      <c r="K8" s="128">
        <v>0.24331036042965601</v>
      </c>
      <c r="M8" s="123" t="s">
        <v>177</v>
      </c>
      <c r="N8" s="129">
        <v>7492</v>
      </c>
      <c r="O8" s="128">
        <v>0.24331036042965601</v>
      </c>
      <c r="P8" s="129">
        <v>19071</v>
      </c>
      <c r="Q8" s="126">
        <v>4685.6810835978204</v>
      </c>
    </row>
    <row r="9" spans="1:17" ht="27.75" customHeight="1" x14ac:dyDescent="0.35">
      <c r="A9" s="122" t="s">
        <v>180</v>
      </c>
      <c r="B9" s="123" t="s">
        <v>178</v>
      </c>
      <c r="C9" s="123" t="s">
        <v>181</v>
      </c>
      <c r="D9" s="124">
        <v>31</v>
      </c>
      <c r="E9" s="124">
        <v>8194</v>
      </c>
      <c r="F9" s="125">
        <v>2983581.3</v>
      </c>
      <c r="G9" s="123" t="s">
        <v>182</v>
      </c>
      <c r="H9" s="125">
        <v>1480</v>
      </c>
      <c r="I9" s="126">
        <v>2015.9333108108101</v>
      </c>
      <c r="J9" s="127">
        <v>131.43170304626199</v>
      </c>
      <c r="K9" s="128">
        <v>0.24602554439966001</v>
      </c>
      <c r="M9" s="123" t="s">
        <v>180</v>
      </c>
      <c r="N9" s="129">
        <v>8194</v>
      </c>
      <c r="O9" s="128">
        <v>0.24602554439966001</v>
      </c>
      <c r="P9" s="129">
        <v>27265</v>
      </c>
      <c r="Q9" s="126">
        <v>6701.6143944086298</v>
      </c>
    </row>
    <row r="10" spans="1:17" ht="27.75" customHeight="1" x14ac:dyDescent="0.35">
      <c r="A10" s="122" t="s">
        <v>183</v>
      </c>
      <c r="B10" s="123" t="s">
        <v>181</v>
      </c>
      <c r="C10" s="123" t="s">
        <v>184</v>
      </c>
      <c r="D10" s="124">
        <v>29</v>
      </c>
      <c r="E10" s="124">
        <v>8170</v>
      </c>
      <c r="F10" s="125">
        <v>3002019</v>
      </c>
      <c r="G10" s="123" t="s">
        <v>185</v>
      </c>
      <c r="H10" s="125">
        <v>1463.92</v>
      </c>
      <c r="I10" s="126">
        <v>2050.6714847805902</v>
      </c>
      <c r="J10" s="127">
        <v>131.046743213078</v>
      </c>
      <c r="K10" s="128">
        <v>0.25100018173569</v>
      </c>
      <c r="M10" s="123" t="s">
        <v>183</v>
      </c>
      <c r="N10" s="129">
        <v>8170</v>
      </c>
      <c r="O10" s="128">
        <v>0.25100018173569</v>
      </c>
      <c r="P10" s="129">
        <v>35435</v>
      </c>
      <c r="Q10" s="126">
        <v>8752.2858791892195</v>
      </c>
    </row>
    <row r="11" spans="1:17" ht="27.75" customHeight="1" x14ac:dyDescent="0.35">
      <c r="A11" s="122" t="s">
        <v>186</v>
      </c>
      <c r="B11" s="123" t="s">
        <v>184</v>
      </c>
      <c r="C11" s="123" t="s">
        <v>187</v>
      </c>
      <c r="D11" s="124">
        <v>33</v>
      </c>
      <c r="E11" s="124">
        <v>8708</v>
      </c>
      <c r="F11" s="125">
        <v>3294776.3</v>
      </c>
      <c r="G11" s="123" t="s">
        <v>188</v>
      </c>
      <c r="H11" s="125">
        <v>1421.51</v>
      </c>
      <c r="I11" s="126">
        <v>2317.80029686742</v>
      </c>
      <c r="J11" s="127">
        <v>139.676259473621</v>
      </c>
      <c r="K11" s="128">
        <v>0.266169074054595</v>
      </c>
      <c r="M11" s="123" t="s">
        <v>186</v>
      </c>
      <c r="N11" s="129">
        <v>8708</v>
      </c>
      <c r="O11" s="128">
        <v>0.266169074054595</v>
      </c>
      <c r="P11" s="129">
        <v>44143</v>
      </c>
      <c r="Q11" s="126">
        <v>11070.0861760566</v>
      </c>
    </row>
    <row r="12" spans="1:17" ht="27.75" customHeight="1" x14ac:dyDescent="0.35">
      <c r="A12" s="122" t="s">
        <v>189</v>
      </c>
      <c r="B12" s="123" t="s">
        <v>187</v>
      </c>
      <c r="C12" s="123" t="s">
        <v>190</v>
      </c>
      <c r="D12" s="124">
        <v>26</v>
      </c>
      <c r="E12" s="124">
        <v>5936</v>
      </c>
      <c r="F12" s="125">
        <v>2366687.9</v>
      </c>
      <c r="G12" s="123" t="s">
        <v>191</v>
      </c>
      <c r="H12" s="125">
        <v>1415.79</v>
      </c>
      <c r="I12" s="126">
        <v>1671.63767225365</v>
      </c>
      <c r="J12" s="127">
        <v>95.213398740860498</v>
      </c>
      <c r="K12" s="128">
        <v>0.28161011998882302</v>
      </c>
      <c r="M12" s="123" t="s">
        <v>189</v>
      </c>
      <c r="N12" s="129">
        <v>5936</v>
      </c>
      <c r="O12" s="128">
        <v>0.28161011998882302</v>
      </c>
      <c r="P12" s="129">
        <v>50079</v>
      </c>
      <c r="Q12" s="126">
        <v>12741.723848310299</v>
      </c>
    </row>
    <row r="13" spans="1:17" ht="27.75" customHeight="1" x14ac:dyDescent="0.35">
      <c r="A13" s="122" t="s">
        <v>192</v>
      </c>
      <c r="B13" s="123" t="s">
        <v>190</v>
      </c>
      <c r="C13" s="123" t="s">
        <v>193</v>
      </c>
      <c r="D13" s="124">
        <v>31</v>
      </c>
      <c r="E13" s="124">
        <v>6564</v>
      </c>
      <c r="F13" s="125">
        <v>2618064.5</v>
      </c>
      <c r="G13" s="123" t="s">
        <v>194</v>
      </c>
      <c r="H13" s="125">
        <v>1435.68</v>
      </c>
      <c r="I13" s="126">
        <v>1823.57106040343</v>
      </c>
      <c r="J13" s="127">
        <v>105.28651437584401</v>
      </c>
      <c r="K13" s="128">
        <v>0.27781399457700101</v>
      </c>
      <c r="M13" s="123" t="s">
        <v>192</v>
      </c>
      <c r="N13" s="129">
        <v>6564</v>
      </c>
      <c r="O13" s="128">
        <v>0.27781399457700101</v>
      </c>
      <c r="P13" s="129">
        <v>56643</v>
      </c>
      <c r="Q13" s="126">
        <v>14565.2949087137</v>
      </c>
    </row>
    <row r="14" spans="1:17" ht="27.75" customHeight="1" x14ac:dyDescent="0.35">
      <c r="A14" s="122" t="s">
        <v>195</v>
      </c>
      <c r="B14" s="123" t="s">
        <v>193</v>
      </c>
      <c r="C14" s="123" t="s">
        <v>196</v>
      </c>
      <c r="D14" s="124">
        <v>32</v>
      </c>
      <c r="E14" s="124">
        <v>5106</v>
      </c>
      <c r="F14" s="125">
        <v>2138299.7000000002</v>
      </c>
      <c r="G14" s="123" t="s">
        <v>197</v>
      </c>
      <c r="H14" s="125">
        <v>1430.45</v>
      </c>
      <c r="I14" s="126">
        <v>1494.84407004789</v>
      </c>
      <c r="J14" s="127">
        <v>81.900204509911404</v>
      </c>
      <c r="K14" s="128">
        <v>0.29276225422011098</v>
      </c>
      <c r="M14" s="123" t="s">
        <v>195</v>
      </c>
      <c r="N14" s="129">
        <v>5106</v>
      </c>
      <c r="O14" s="128">
        <v>0.29276225422011098</v>
      </c>
      <c r="P14" s="129">
        <v>61749</v>
      </c>
      <c r="Q14" s="126">
        <v>16060.138978761601</v>
      </c>
    </row>
    <row r="15" spans="1:17" ht="27.75" customHeight="1" x14ac:dyDescent="0.35">
      <c r="A15" s="122" t="s">
        <v>198</v>
      </c>
      <c r="B15" s="123" t="s">
        <v>196</v>
      </c>
      <c r="C15" s="123" t="s">
        <v>199</v>
      </c>
      <c r="D15" s="124">
        <v>30</v>
      </c>
      <c r="E15" s="124">
        <v>3781</v>
      </c>
      <c r="F15" s="125">
        <v>1712871.4</v>
      </c>
      <c r="G15" s="123" t="s">
        <v>200</v>
      </c>
      <c r="H15" s="125">
        <v>1502.09</v>
      </c>
      <c r="I15" s="126">
        <v>1140.32541325753</v>
      </c>
      <c r="J15" s="127">
        <v>60.647213719540702</v>
      </c>
      <c r="K15" s="128">
        <v>0.301593603083186</v>
      </c>
      <c r="M15" s="123" t="s">
        <v>198</v>
      </c>
      <c r="N15" s="129">
        <v>3781</v>
      </c>
      <c r="O15" s="128">
        <v>0.301593603083186</v>
      </c>
      <c r="P15" s="129">
        <v>65530</v>
      </c>
      <c r="Q15" s="126">
        <v>17200.464392019101</v>
      </c>
    </row>
    <row r="16" spans="1:17" ht="27.75" customHeight="1" x14ac:dyDescent="0.35">
      <c r="A16" s="122" t="s">
        <v>201</v>
      </c>
      <c r="B16" s="123" t="s">
        <v>199</v>
      </c>
      <c r="C16" s="123" t="s">
        <v>202</v>
      </c>
      <c r="D16" s="124">
        <v>33</v>
      </c>
      <c r="E16" s="124">
        <v>4167</v>
      </c>
      <c r="F16" s="125">
        <v>1956719.2</v>
      </c>
      <c r="G16" s="123" t="s">
        <v>203</v>
      </c>
      <c r="H16" s="125">
        <v>1515</v>
      </c>
      <c r="I16" s="126">
        <v>1291.56382838284</v>
      </c>
      <c r="J16" s="127">
        <v>66.838651036584594</v>
      </c>
      <c r="K16" s="128">
        <v>0.30995052277006002</v>
      </c>
      <c r="M16" s="123" t="s">
        <v>201</v>
      </c>
      <c r="N16" s="129">
        <v>4167</v>
      </c>
      <c r="O16" s="128">
        <v>0.30995052277006002</v>
      </c>
      <c r="P16" s="129">
        <v>69697</v>
      </c>
      <c r="Q16" s="126">
        <v>18492.028220402</v>
      </c>
    </row>
    <row r="17" spans="1:17" ht="27.75" customHeight="1" x14ac:dyDescent="0.35">
      <c r="A17" s="122" t="s">
        <v>204</v>
      </c>
      <c r="B17" s="123" t="s">
        <v>202</v>
      </c>
      <c r="C17" s="123" t="s">
        <v>205</v>
      </c>
      <c r="D17" s="124">
        <v>30</v>
      </c>
      <c r="E17" s="124">
        <v>5116</v>
      </c>
      <c r="F17" s="125">
        <v>2528665.2999999998</v>
      </c>
      <c r="G17" s="123" t="s">
        <v>206</v>
      </c>
      <c r="H17" s="125">
        <v>1530</v>
      </c>
      <c r="I17" s="126">
        <v>1652.7224183006499</v>
      </c>
      <c r="J17" s="127">
        <v>82.060604440404802</v>
      </c>
      <c r="K17" s="128">
        <v>0.32304972992585101</v>
      </c>
      <c r="M17" s="123" t="s">
        <v>204</v>
      </c>
      <c r="N17" s="129">
        <v>5116</v>
      </c>
      <c r="O17" s="128">
        <v>0.32304972992585101</v>
      </c>
      <c r="P17" s="129">
        <v>74813</v>
      </c>
      <c r="Q17" s="126">
        <v>20144.750638702601</v>
      </c>
    </row>
    <row r="19" spans="1:17" ht="14.25" customHeight="1" x14ac:dyDescent="0.35">
      <c r="A19" s="130" t="s">
        <v>207</v>
      </c>
      <c r="B19" s="131"/>
      <c r="C19" s="131"/>
      <c r="D19" s="131"/>
      <c r="E19" s="132">
        <v>74813</v>
      </c>
      <c r="F19" s="133">
        <v>29385460.600000001</v>
      </c>
      <c r="G19" s="131"/>
      <c r="H19" s="131"/>
      <c r="I19" s="133">
        <v>20144.750638702601</v>
      </c>
      <c r="J19" s="134">
        <v>100</v>
      </c>
      <c r="K19" s="135">
        <v>0.269268050187837</v>
      </c>
    </row>
    <row r="20" spans="1:17" ht="14.25" customHeight="1" x14ac:dyDescent="0.35">
      <c r="A20" s="136"/>
      <c r="B20" s="137"/>
      <c r="C20" s="137"/>
      <c r="D20" s="137"/>
      <c r="E20" s="138"/>
      <c r="F20" s="139"/>
      <c r="G20" s="137"/>
      <c r="H20" s="137"/>
      <c r="I20" s="133"/>
      <c r="J20" s="134"/>
      <c r="K20" s="135"/>
    </row>
    <row r="22" spans="1:17" ht="14.25" customHeight="1" x14ac:dyDescent="0.35">
      <c r="A22" s="140" t="s">
        <v>208</v>
      </c>
    </row>
    <row r="23" spans="1:17" ht="14.25" customHeight="1" x14ac:dyDescent="0.35">
      <c r="A23" s="119" t="s">
        <v>209</v>
      </c>
    </row>
    <row r="24" spans="1:17" ht="14.25" customHeight="1" x14ac:dyDescent="0.35">
      <c r="A24" s="119" t="s">
        <v>210</v>
      </c>
    </row>
    <row r="25" spans="1:17" ht="14.25" customHeight="1" x14ac:dyDescent="0.35">
      <c r="A25" s="119" t="s">
        <v>211</v>
      </c>
    </row>
    <row r="26" spans="1:17" ht="14.25" customHeight="1" x14ac:dyDescent="0.35">
      <c r="A26" s="141" t="s">
        <v>212</v>
      </c>
    </row>
    <row r="27" spans="1:17" ht="14.25" customHeight="1" x14ac:dyDescent="0.35">
      <c r="A27" s="141" t="s">
        <v>213</v>
      </c>
    </row>
    <row r="28" spans="1:17" ht="14.25" customHeight="1" x14ac:dyDescent="0.35">
      <c r="A28" s="141" t="s">
        <v>214</v>
      </c>
    </row>
    <row r="29" spans="1:17" ht="14.25" customHeight="1" x14ac:dyDescent="0.35">
      <c r="A29" s="141" t="s">
        <v>215</v>
      </c>
    </row>
    <row r="30" spans="1:17" ht="14.25" customHeight="1" x14ac:dyDescent="0.35">
      <c r="A30" s="141" t="s">
        <v>216</v>
      </c>
    </row>
    <row r="31" spans="1:17" ht="14.25" customHeight="1" x14ac:dyDescent="0.35">
      <c r="A31" s="141" t="s">
        <v>217</v>
      </c>
    </row>
    <row r="32" spans="1:17" ht="14.25" customHeight="1" x14ac:dyDescent="0.35">
      <c r="A32" s="141" t="s">
        <v>218</v>
      </c>
    </row>
    <row r="33" spans="1:7" ht="14.25" customHeight="1" x14ac:dyDescent="0.35">
      <c r="A33" s="141" t="s">
        <v>219</v>
      </c>
    </row>
    <row r="34" spans="1:7" ht="14.25" customHeight="1" x14ac:dyDescent="0.35">
      <c r="A34" s="141" t="s">
        <v>220</v>
      </c>
    </row>
    <row r="35" spans="1:7" ht="14.25" customHeight="1" x14ac:dyDescent="0.35">
      <c r="A35" s="141" t="s">
        <v>221</v>
      </c>
    </row>
    <row r="36" spans="1:7" ht="14.25" customHeight="1" x14ac:dyDescent="0.35">
      <c r="A36" s="141" t="s">
        <v>222</v>
      </c>
    </row>
    <row r="37" spans="1:7" ht="14.25" customHeight="1" x14ac:dyDescent="0.35">
      <c r="A37" s="141" t="s">
        <v>223</v>
      </c>
    </row>
    <row r="38" spans="1:7" ht="14.25" customHeight="1" x14ac:dyDescent="0.35">
      <c r="A38" s="119" t="s">
        <v>224</v>
      </c>
    </row>
    <row r="39" spans="1:7" ht="14.25" customHeight="1" x14ac:dyDescent="0.35">
      <c r="A39" s="119" t="s">
        <v>225</v>
      </c>
    </row>
    <row r="40" spans="1:7" ht="14.25" customHeight="1" x14ac:dyDescent="0.35">
      <c r="A40" s="119" t="s">
        <v>226</v>
      </c>
    </row>
    <row r="43" spans="1:7" ht="18" customHeight="1" x14ac:dyDescent="0.4">
      <c r="A43" s="117" t="s">
        <v>227</v>
      </c>
    </row>
    <row r="44" spans="1:7" ht="14.25" customHeight="1" x14ac:dyDescent="0.35">
      <c r="A44" s="119" t="s">
        <v>228</v>
      </c>
    </row>
    <row r="46" spans="1:7" ht="27.75" customHeight="1" x14ac:dyDescent="0.35">
      <c r="A46" s="120" t="s">
        <v>229</v>
      </c>
      <c r="B46" s="120" t="s">
        <v>230</v>
      </c>
      <c r="C46" s="120" t="s">
        <v>231</v>
      </c>
      <c r="D46" s="120" t="s">
        <v>232</v>
      </c>
      <c r="E46" s="120" t="s">
        <v>233</v>
      </c>
      <c r="F46" s="120" t="s">
        <v>234</v>
      </c>
      <c r="G46" s="120" t="s">
        <v>235</v>
      </c>
    </row>
    <row r="47" spans="1:7" ht="14.25" customHeight="1" x14ac:dyDescent="0.35">
      <c r="A47" s="122" t="s">
        <v>236</v>
      </c>
      <c r="B47" s="122" t="s">
        <v>237</v>
      </c>
      <c r="C47" s="142" t="s">
        <v>238</v>
      </c>
      <c r="D47" s="123">
        <v>61</v>
      </c>
      <c r="E47" s="129">
        <v>11579</v>
      </c>
      <c r="F47" s="127">
        <v>189.819672131148</v>
      </c>
      <c r="G47" s="127">
        <v>93.574420674752403</v>
      </c>
    </row>
    <row r="48" spans="1:7" ht="14.25" customHeight="1" x14ac:dyDescent="0.35">
      <c r="A48" s="122" t="s">
        <v>239</v>
      </c>
      <c r="B48" s="122" t="s">
        <v>237</v>
      </c>
      <c r="C48" s="142" t="s">
        <v>238</v>
      </c>
      <c r="D48" s="123">
        <v>64</v>
      </c>
      <c r="E48" s="129">
        <v>15686</v>
      </c>
      <c r="F48" s="127">
        <v>245.09375</v>
      </c>
      <c r="G48" s="127">
        <v>120.822596571587</v>
      </c>
    </row>
    <row r="49" spans="1:7" ht="14.25" customHeight="1" x14ac:dyDescent="0.35">
      <c r="A49" s="122" t="s">
        <v>240</v>
      </c>
      <c r="B49" s="122" t="s">
        <v>237</v>
      </c>
      <c r="C49" s="142" t="s">
        <v>238</v>
      </c>
      <c r="D49" s="123">
        <v>62</v>
      </c>
      <c r="E49" s="129">
        <v>16878</v>
      </c>
      <c r="F49" s="127">
        <v>272.22580645161298</v>
      </c>
      <c r="G49" s="127">
        <v>134.19774592080901</v>
      </c>
    </row>
    <row r="50" spans="1:7" ht="14.25" customHeight="1" x14ac:dyDescent="0.35">
      <c r="A50" s="122" t="s">
        <v>241</v>
      </c>
      <c r="B50" s="122" t="s">
        <v>237</v>
      </c>
      <c r="C50" s="142" t="s">
        <v>238</v>
      </c>
      <c r="D50" s="123">
        <v>57</v>
      </c>
      <c r="E50" s="129">
        <v>12500</v>
      </c>
      <c r="F50" s="127">
        <v>219.29824561403501</v>
      </c>
      <c r="G50" s="127">
        <v>108.106320372027</v>
      </c>
    </row>
    <row r="51" spans="1:7" ht="14.25" customHeight="1" x14ac:dyDescent="0.35">
      <c r="A51" s="122" t="s">
        <v>242</v>
      </c>
      <c r="B51" s="122" t="s">
        <v>237</v>
      </c>
      <c r="C51" s="142" t="s">
        <v>238</v>
      </c>
      <c r="D51" s="123">
        <v>62</v>
      </c>
      <c r="E51" s="129">
        <v>8887</v>
      </c>
      <c r="F51" s="127">
        <v>143.33870967741899</v>
      </c>
      <c r="G51" s="127">
        <v>70.660941343656006</v>
      </c>
    </row>
    <row r="52" spans="1:7" ht="14.25" customHeight="1" x14ac:dyDescent="0.35">
      <c r="A52" s="122" t="s">
        <v>243</v>
      </c>
      <c r="B52" s="122" t="s">
        <v>237</v>
      </c>
      <c r="C52" s="142" t="s">
        <v>238</v>
      </c>
      <c r="D52" s="123">
        <v>63</v>
      </c>
      <c r="E52" s="129">
        <v>9283</v>
      </c>
      <c r="F52" s="127">
        <v>147.34920634920601</v>
      </c>
      <c r="G52" s="127">
        <v>72.637975117169304</v>
      </c>
    </row>
    <row r="54" spans="1:7" ht="14.25" customHeight="1" x14ac:dyDescent="0.35">
      <c r="A54" s="130" t="s">
        <v>244</v>
      </c>
      <c r="B54" s="131"/>
      <c r="C54" s="131"/>
      <c r="D54" s="131"/>
      <c r="E54" s="131"/>
      <c r="F54" s="134">
        <v>202.85423170390399</v>
      </c>
      <c r="G54" s="134">
        <v>600</v>
      </c>
    </row>
    <row r="56" spans="1:7" ht="14.25" customHeight="1" x14ac:dyDescent="0.35">
      <c r="A56" s="140" t="s">
        <v>245</v>
      </c>
    </row>
    <row r="57" spans="1:7" ht="14.25" customHeight="1" x14ac:dyDescent="0.35">
      <c r="A57" s="119" t="s">
        <v>246</v>
      </c>
    </row>
    <row r="58" spans="1:7" ht="14.25" customHeight="1" x14ac:dyDescent="0.35">
      <c r="A58" s="119" t="s">
        <v>247</v>
      </c>
    </row>
    <row r="59" spans="1:7" ht="14.25" customHeight="1" x14ac:dyDescent="0.35">
      <c r="A59" s="119" t="s">
        <v>248</v>
      </c>
    </row>
  </sheetData>
  <pageMargins left="0.7" right="0.7" top="0.75" bottom="0.75"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N55"/>
  <sheetViews>
    <sheetView zoomScaleNormal="100" workbookViewId="0">
      <selection activeCell="A37" sqref="A37"/>
    </sheetView>
  </sheetViews>
  <sheetFormatPr baseColWidth="10" defaultColWidth="8.6328125" defaultRowHeight="14.5" x14ac:dyDescent="0.35"/>
  <cols>
    <col min="1" max="1" width="50.6328125" customWidth="1"/>
    <col min="2" max="2" width="16" customWidth="1"/>
    <col min="3" max="3" width="22" customWidth="1"/>
    <col min="4" max="4" width="10" customWidth="1"/>
    <col min="5" max="6" width="12" customWidth="1"/>
    <col min="7" max="7" width="20.54296875" customWidth="1"/>
    <col min="8" max="8" width="11" customWidth="1"/>
    <col min="9" max="11" width="13" customWidth="1"/>
    <col min="12" max="12" width="10" customWidth="1"/>
    <col min="13" max="13" width="16" customWidth="1"/>
    <col min="14" max="14" width="48" customWidth="1"/>
  </cols>
  <sheetData>
    <row r="1" spans="1:14" ht="17.25" customHeight="1" x14ac:dyDescent="0.4">
      <c r="A1" s="79" t="s">
        <v>71</v>
      </c>
    </row>
    <row r="2" spans="1:14" ht="15" customHeight="1" x14ac:dyDescent="0.35">
      <c r="A2" s="80" t="s">
        <v>72</v>
      </c>
    </row>
    <row r="3" spans="1:14" ht="15" customHeight="1" x14ac:dyDescent="0.35">
      <c r="A3" s="80" t="s">
        <v>73</v>
      </c>
    </row>
    <row r="5" spans="1:14" ht="15" customHeight="1" x14ac:dyDescent="0.35">
      <c r="A5" s="81" t="s">
        <v>74</v>
      </c>
      <c r="B5" t="s">
        <v>75</v>
      </c>
      <c r="C5" s="82">
        <v>0.5</v>
      </c>
      <c r="D5" t="s">
        <v>76</v>
      </c>
      <c r="E5" s="82">
        <v>0.3</v>
      </c>
      <c r="F5" t="s">
        <v>77</v>
      </c>
      <c r="G5" s="82">
        <v>0.2</v>
      </c>
    </row>
    <row r="6" spans="1:14" ht="15" customHeight="1" x14ac:dyDescent="0.35">
      <c r="A6" s="81" t="s">
        <v>78</v>
      </c>
      <c r="B6" t="s">
        <v>79</v>
      </c>
      <c r="C6" s="82">
        <v>0.6</v>
      </c>
      <c r="D6" t="s">
        <v>80</v>
      </c>
      <c r="E6" s="82">
        <v>0.2</v>
      </c>
      <c r="F6" s="80" t="s">
        <v>81</v>
      </c>
    </row>
    <row r="8" spans="1:14" ht="39" customHeight="1" x14ac:dyDescent="0.35">
      <c r="A8" s="83" t="s">
        <v>82</v>
      </c>
      <c r="B8" s="83" t="s">
        <v>1</v>
      </c>
      <c r="C8" s="83" t="s">
        <v>83</v>
      </c>
      <c r="D8" s="83" t="s">
        <v>84</v>
      </c>
      <c r="E8" s="83" t="s">
        <v>85</v>
      </c>
      <c r="F8" s="83" t="s">
        <v>86</v>
      </c>
      <c r="G8" s="83" t="s">
        <v>87</v>
      </c>
      <c r="H8" s="83" t="s">
        <v>88</v>
      </c>
      <c r="I8" s="83" t="s">
        <v>89</v>
      </c>
      <c r="J8" s="83" t="s">
        <v>90</v>
      </c>
      <c r="K8" s="83" t="s">
        <v>91</v>
      </c>
      <c r="L8" s="83" t="s">
        <v>92</v>
      </c>
      <c r="M8" s="83" t="s">
        <v>93</v>
      </c>
      <c r="N8" s="83" t="s">
        <v>94</v>
      </c>
    </row>
    <row r="9" spans="1:14" ht="28.5" x14ac:dyDescent="0.35">
      <c r="A9" s="84" t="str">
        <f>'Matriz Layout Camara'!D2</f>
        <v>GRANEL A</v>
      </c>
      <c r="B9" s="85" t="str">
        <f>'Matriz Layout Camara'!E2</f>
        <v>Criticos</v>
      </c>
      <c r="C9" s="84" t="str">
        <f>"Rack "&amp;'Matriz Layout Camara'!J2&amp;"-Niv "&amp;'Matriz Layout Camara'!K2&amp;"-Pos "&amp;'Matriz Layout Camara'!L2</f>
        <v>Rack 1-Niv ND-Pos ND</v>
      </c>
      <c r="D9" s="86">
        <f>'Matriz Layout Camara'!AG2</f>
        <v>2.4652498674667007</v>
      </c>
      <c r="E9" s="87">
        <f>'Matriz Layout Camara'!R2</f>
        <v>750</v>
      </c>
      <c r="F9" s="88">
        <f>'Matriz Layout Camara'!Z2</f>
        <v>0.61402214022140222</v>
      </c>
      <c r="G9" s="89">
        <f>'Matriz Layout Camara'!T2</f>
        <v>5871.9975570000006</v>
      </c>
      <c r="H9" s="85">
        <f t="shared" ref="H9:H27" si="0">IF(B9="Criticos",3,IF(B9="Estrategicos Financieros",2,1))</f>
        <v>3</v>
      </c>
      <c r="I9" s="90">
        <f>(H9-MIN(H9:H27))/(MAX(H9:H27)-MIN(H9:H27))</f>
        <v>1</v>
      </c>
      <c r="J9" s="90">
        <f>1-(D9-MIN(D9:D27))/(MAX(D9:D27)-MIN(D9:D27))</f>
        <v>4.4246039481524058E-2</v>
      </c>
      <c r="K9" s="90">
        <f>(E9-MIN(E9:E27))/(MAX(E9:E27)-MIN(E9:E27))</f>
        <v>1</v>
      </c>
      <c r="L9" s="91">
        <f t="shared" ref="L9:L27" si="1">$C$5*I9+$E$5*J9+$G$5*K9</f>
        <v>0.71327381184445726</v>
      </c>
      <c r="M9" s="85" t="str">
        <f t="shared" ref="M9:M27" si="2">IF(L9&gt;=$C$6,"Zona 1 - Oro",IF(L9&gt;=$E$6,"Zona 2 - Plata","Zona 3 - Bronce"))</f>
        <v>Zona 1 - Oro</v>
      </c>
      <c r="N9" s="92" t="str">
        <f t="shared" ref="N9:N27" si="3">IF(ISNUMBER(SEARCH("GRANEL",A9))+ISNUMBER(SEARCH("TENTACIONES",A9)),"Mantener posición (misma) — REDENSIFICAR estibado a &gt;=88% util. volumétrica",IF(ISNUMBER(SEARCH("FAMILIARES",A9)),"Bajar a Nivel 1 — posición dedicada cerca de puerta",IF(M9="Zona 3 - Bronce","Subir a Nivel 2 — consolidar en posición compartida","Mantener en Nivel 1 — posición dedicada")))</f>
        <v>Mantener posición (misma) — REDENSIFICAR estibado a &gt;=88% util. volumétrica</v>
      </c>
    </row>
    <row r="10" spans="1:14" ht="28.5" x14ac:dyDescent="0.35">
      <c r="A10" s="84" t="str">
        <f>'Matriz Layout Camara'!D3</f>
        <v>GRANEL B</v>
      </c>
      <c r="B10" s="85" t="str">
        <f>'Matriz Layout Camara'!E3</f>
        <v>Criticos</v>
      </c>
      <c r="C10" s="84" t="str">
        <f>"Rack "&amp;'Matriz Layout Camara'!J3&amp;"-Niv "&amp;'Matriz Layout Camara'!K3&amp;"-Pos "&amp;'Matriz Layout Camara'!L3</f>
        <v>Rack 5-Niv ND-Pos ND</v>
      </c>
      <c r="D10" s="86">
        <f>'Matriz Layout Camara'!AG3</f>
        <v>2.40417093031808</v>
      </c>
      <c r="E10" s="87">
        <f>'Matriz Layout Camara'!R3</f>
        <v>750</v>
      </c>
      <c r="F10" s="88">
        <f>'Matriz Layout Camara'!Z3</f>
        <v>0.62962162162162161</v>
      </c>
      <c r="G10" s="89">
        <f>'Matriz Layout Camara'!T3</f>
        <v>4110.3982899000002</v>
      </c>
      <c r="H10" s="85">
        <f t="shared" si="0"/>
        <v>3</v>
      </c>
      <c r="I10" s="90">
        <f>(H10-MIN(H9:H27))/(MAX(H9:H27)-MIN(H9:H27))</f>
        <v>1</v>
      </c>
      <c r="J10" s="90">
        <f>1-(D10-MIN(D9:D27))/(MAX(D9:D27)-MIN(D9:D27))</f>
        <v>8.5727512694474206E-2</v>
      </c>
      <c r="K10" s="90">
        <f>(E10-MIN(E9:E27))/(MAX(E9:E27)-MIN(E9:E27))</f>
        <v>1</v>
      </c>
      <c r="L10" s="91">
        <f t="shared" si="1"/>
        <v>0.72571825380834221</v>
      </c>
      <c r="M10" s="85" t="str">
        <f t="shared" si="2"/>
        <v>Zona 1 - Oro</v>
      </c>
      <c r="N10" s="92" t="str">
        <f t="shared" si="3"/>
        <v>Mantener posición (misma) — REDENSIFICAR estibado a &gt;=88% util. volumétrica</v>
      </c>
    </row>
    <row r="11" spans="1:14" x14ac:dyDescent="0.35">
      <c r="A11" s="84" t="str">
        <f>'Matriz Layout Camara'!D4</f>
        <v>BOMBON ESCOCES</v>
      </c>
      <c r="B11" s="85" t="str">
        <f>'Matriz Layout Camara'!E4</f>
        <v>Criticos</v>
      </c>
      <c r="C11" s="84" t="str">
        <f>"Rack "&amp;'Matriz Layout Camara'!J4&amp;"-Niv "&amp;'Matriz Layout Camara'!K4&amp;"-Pos "&amp;'Matriz Layout Camara'!L4</f>
        <v>Rack 2-Niv 1-Pos 1</v>
      </c>
      <c r="D11" s="86">
        <f>'Matriz Layout Camara'!AG4</f>
        <v>1.7660043331028379</v>
      </c>
      <c r="E11" s="87">
        <f>'Matriz Layout Camara'!R4</f>
        <v>296.00191853095345</v>
      </c>
      <c r="F11" s="88">
        <f>'Matriz Layout Camara'!Z4</f>
        <v>0.8516865079365078</v>
      </c>
      <c r="G11" s="89">
        <f>'Matriz Layout Camara'!T4</f>
        <v>444.84829977272733</v>
      </c>
      <c r="H11" s="85">
        <f t="shared" si="0"/>
        <v>3</v>
      </c>
      <c r="I11" s="90">
        <f>(H11-MIN(H9:H27))/(MAX(H9:H27)-MIN(H9:H27))</f>
        <v>1</v>
      </c>
      <c r="J11" s="90">
        <f>1-(D11-MIN(D9:D27))/(MAX(D9:D27)-MIN(D9:D27))</f>
        <v>0.51913535905843833</v>
      </c>
      <c r="K11" s="90">
        <f>(E11-MIN(E9:E27))/(MAX(E9:E27)-MIN(E9:E27))</f>
        <v>8.4508280920374115E-2</v>
      </c>
      <c r="L11" s="91">
        <f t="shared" si="1"/>
        <v>0.67264226390160631</v>
      </c>
      <c r="M11" s="85" t="str">
        <f t="shared" si="2"/>
        <v>Zona 1 - Oro</v>
      </c>
      <c r="N11" s="92" t="str">
        <f t="shared" si="3"/>
        <v>Mantener en Nivel 1 — posición dedicada</v>
      </c>
    </row>
    <row r="12" spans="1:14" x14ac:dyDescent="0.35">
      <c r="A12" s="84" t="str">
        <f>'Matriz Layout Camara'!D5</f>
        <v>BOMBON SUIZO</v>
      </c>
      <c r="B12" s="85" t="str">
        <f>'Matriz Layout Camara'!E5</f>
        <v>Rutina</v>
      </c>
      <c r="C12" s="84" t="str">
        <f>"Rack "&amp;'Matriz Layout Camara'!J5&amp;"-Niv "&amp;'Matriz Layout Camara'!K5&amp;"-Pos "&amp;'Matriz Layout Camara'!L5</f>
        <v>Rack 2-Niv 1-Pos 6</v>
      </c>
      <c r="D12" s="86">
        <f>'Matriz Layout Camara'!AG5</f>
        <v>2.0705593314771589</v>
      </c>
      <c r="E12" s="87">
        <f>'Matriz Layout Camara'!R5</f>
        <v>287.97289666854886</v>
      </c>
      <c r="F12" s="88">
        <f>'Matriz Layout Camara'!Z5</f>
        <v>0.7466666666666667</v>
      </c>
      <c r="G12" s="89">
        <f>'Matriz Layout Camara'!T5</f>
        <v>177.93931990909093</v>
      </c>
      <c r="H12" s="85">
        <f t="shared" si="0"/>
        <v>1</v>
      </c>
      <c r="I12" s="90">
        <f>(H12-MIN(H9:H27))/(MAX(H9:H27)-MIN(H9:H27))</f>
        <v>0</v>
      </c>
      <c r="J12" s="90">
        <f>1-(D12-MIN(D9:D27))/(MAX(D9:D27)-MIN(D9:D27))</f>
        <v>0.31229826272530792</v>
      </c>
      <c r="K12" s="90">
        <f>(E12-MIN(E9:E27))/(MAX(E9:E27)-MIN(E9:E27))</f>
        <v>6.8317677198975274E-2</v>
      </c>
      <c r="L12" s="91">
        <f t="shared" si="1"/>
        <v>0.10735301425738743</v>
      </c>
      <c r="M12" s="85" t="str">
        <f t="shared" si="2"/>
        <v>Zona 3 - Bronce</v>
      </c>
      <c r="N12" s="92" t="str">
        <f t="shared" si="3"/>
        <v>Subir a Nivel 2 — consolidar en posición compartida</v>
      </c>
    </row>
    <row r="13" spans="1:14" x14ac:dyDescent="0.35">
      <c r="A13" s="84" t="str">
        <f>'Matriz Layout Camara'!D6</f>
        <v>POSTRE CASSATA</v>
      </c>
      <c r="B13" s="85" t="str">
        <f>'Matriz Layout Camara'!E6</f>
        <v>Rutina</v>
      </c>
      <c r="C13" s="84" t="str">
        <f>"Rack "&amp;'Matriz Layout Camara'!J6&amp;"-Niv "&amp;'Matriz Layout Camara'!K6&amp;"-Pos "&amp;'Matriz Layout Camara'!L6</f>
        <v>Rack 2-Niv 1-Pos 5</v>
      </c>
      <c r="D13" s="86">
        <f>'Matriz Layout Camara'!AG6</f>
        <v>2.3466339090074464</v>
      </c>
      <c r="E13" s="87">
        <f>'Matriz Layout Camara'!R6</f>
        <v>254.09373235460191</v>
      </c>
      <c r="F13" s="88">
        <f>'Matriz Layout Camara'!Z6</f>
        <v>0.7466666666666667</v>
      </c>
      <c r="G13" s="89">
        <f>'Matriz Layout Camara'!T6</f>
        <v>177.93931990909093</v>
      </c>
      <c r="H13" s="85">
        <f t="shared" si="0"/>
        <v>1</v>
      </c>
      <c r="I13" s="90">
        <f>(H13-MIN(H9:H27))/(MAX(H9:H27)-MIN(H9:H27))</f>
        <v>0</v>
      </c>
      <c r="J13" s="90">
        <f>1-(D13-MIN(D9:D27))/(MAX(D9:D27)-MIN(D9:D27))</f>
        <v>0.12480351040613191</v>
      </c>
      <c r="K13" s="90">
        <f>(E13-MIN(E9:E27))/(MAX(E9:E27)-MIN(E9:E27))</f>
        <v>0</v>
      </c>
      <c r="L13" s="91">
        <f t="shared" si="1"/>
        <v>3.7441053121839575E-2</v>
      </c>
      <c r="M13" s="85" t="str">
        <f t="shared" si="2"/>
        <v>Zona 3 - Bronce</v>
      </c>
      <c r="N13" s="92" t="str">
        <f t="shared" si="3"/>
        <v>Subir a Nivel 2 — consolidar en posición compartida</v>
      </c>
    </row>
    <row r="14" spans="1:14" x14ac:dyDescent="0.35">
      <c r="A14" s="84" t="str">
        <f>'Matriz Layout Camara'!D7</f>
        <v>POSTRE  ALMENDRADO</v>
      </c>
      <c r="B14" s="85" t="str">
        <f>'Matriz Layout Camara'!E7</f>
        <v>Rutina</v>
      </c>
      <c r="C14" s="84" t="str">
        <f>"Rack "&amp;'Matriz Layout Camara'!J7&amp;"-Niv "&amp;'Matriz Layout Camara'!K7&amp;"-Pos "&amp;'Matriz Layout Camara'!L7</f>
        <v>Rack 2-Niv 1-Pos 5</v>
      </c>
      <c r="D14" s="86">
        <f>'Matriz Layout Camara'!AG7</f>
        <v>2.0952088473280774</v>
      </c>
      <c r="E14" s="87">
        <f>'Matriz Layout Camara'!R7</f>
        <v>284.58498023715413</v>
      </c>
      <c r="F14" s="88">
        <f>'Matriz Layout Camara'!Z7</f>
        <v>0.7466666666666667</v>
      </c>
      <c r="G14" s="89">
        <f>'Matriz Layout Camara'!T7</f>
        <v>177.93931990909093</v>
      </c>
      <c r="H14" s="85">
        <f t="shared" si="0"/>
        <v>1</v>
      </c>
      <c r="I14" s="90">
        <f>(H14-MIN(H9:H27))/(MAX(H9:H27)-MIN(H9:H27))</f>
        <v>0</v>
      </c>
      <c r="J14" s="90">
        <f>1-(D14-MIN(D9:D27))/(MAX(D9:D27)-MIN(D9:D27))</f>
        <v>0.2955576598396672</v>
      </c>
      <c r="K14" s="90">
        <f>(E14-MIN(E9:E27))/(MAX(E9:E27)-MIN(E9:E27))</f>
        <v>6.1485909479077679E-2</v>
      </c>
      <c r="L14" s="91">
        <f t="shared" si="1"/>
        <v>0.1009644798477157</v>
      </c>
      <c r="M14" s="85" t="str">
        <f t="shared" si="2"/>
        <v>Zona 3 - Bronce</v>
      </c>
      <c r="N14" s="92" t="str">
        <f t="shared" si="3"/>
        <v>Subir a Nivel 2 — consolidar en posición compartida</v>
      </c>
    </row>
    <row r="15" spans="1:14" ht="28" x14ac:dyDescent="0.35">
      <c r="A15" s="84" t="str">
        <f>'Matriz Layout Camara'!D8</f>
        <v>BOMBON FRUTEZZA</v>
      </c>
      <c r="B15" s="85" t="str">
        <f>'Matriz Layout Camara'!E8</f>
        <v>Estrategicos Financieros</v>
      </c>
      <c r="C15" s="84" t="str">
        <f>"Rack "&amp;'Matriz Layout Camara'!J8&amp;"-Niv "&amp;'Matriz Layout Camara'!K8&amp;"-Pos "&amp;'Matriz Layout Camara'!L8</f>
        <v>Rack 2-Niv 1-Pos 3</v>
      </c>
      <c r="D15" s="86">
        <f>'Matriz Layout Camara'!AG8</f>
        <v>1.9026761424384699</v>
      </c>
      <c r="E15" s="87">
        <f>'Matriz Layout Camara'!R8</f>
        <v>293.32342375820633</v>
      </c>
      <c r="F15" s="88">
        <f>'Matriz Layout Camara'!Z8</f>
        <v>0.79772727272727284</v>
      </c>
      <c r="G15" s="89">
        <f>'Matriz Layout Camara'!T8</f>
        <v>444.84829977272733</v>
      </c>
      <c r="H15" s="85">
        <f t="shared" si="0"/>
        <v>2</v>
      </c>
      <c r="I15" s="90">
        <f>(H15-MIN(H9:H27))/(MAX(H9:H27)-MIN(H9:H27))</f>
        <v>0.5</v>
      </c>
      <c r="J15" s="90">
        <f>1-(D15-MIN(D9:D27))/(MAX(D9:D27)-MIN(D9:D27))</f>
        <v>0.42631534183832076</v>
      </c>
      <c r="K15" s="90">
        <f>(E15-MIN(E9:E27))/(MAX(E9:E27)-MIN(E9:E27))</f>
        <v>7.9107069144074491E-2</v>
      </c>
      <c r="L15" s="91">
        <f t="shared" si="1"/>
        <v>0.39371601638031112</v>
      </c>
      <c r="M15" s="85" t="str">
        <f t="shared" si="2"/>
        <v>Zona 2 - Plata</v>
      </c>
      <c r="N15" s="92" t="str">
        <f t="shared" si="3"/>
        <v>Mantener en Nivel 1 — posición dedicada</v>
      </c>
    </row>
    <row r="16" spans="1:14" x14ac:dyDescent="0.35">
      <c r="A16" s="84" t="str">
        <f>'Matriz Layout Camara'!D9</f>
        <v>POSTRE CROCANTINO</v>
      </c>
      <c r="B16" s="85" t="str">
        <f>'Matriz Layout Camara'!E9</f>
        <v>Rutina</v>
      </c>
      <c r="C16" s="84" t="str">
        <f>"Rack "&amp;'Matriz Layout Camara'!J9&amp;"-Niv "&amp;'Matriz Layout Camara'!K9&amp;"-Pos "&amp;'Matriz Layout Camara'!L9</f>
        <v>Rack 2-Niv 1-Pos 6</v>
      </c>
      <c r="D16" s="86">
        <f>'Matriz Layout Camara'!AG9</f>
        <v>2.2327054056071636</v>
      </c>
      <c r="E16" s="87">
        <f>'Matriz Layout Camara'!R9</f>
        <v>305.27497194163863</v>
      </c>
      <c r="F16" s="88">
        <f>'Matriz Layout Camara'!Z9</f>
        <v>0.65319587628865972</v>
      </c>
      <c r="G16" s="89">
        <f>'Matriz Layout Camara'!T9</f>
        <v>177.93931990909093</v>
      </c>
      <c r="H16" s="85">
        <f t="shared" si="0"/>
        <v>1</v>
      </c>
      <c r="I16" s="90">
        <f>(H16-MIN(H9:H27))/(MAX(H9:H27)-MIN(H9:H27))</f>
        <v>0</v>
      </c>
      <c r="J16" s="90">
        <f>1-(D16-MIN(D9:D27))/(MAX(D9:D27)-MIN(D9:D27))</f>
        <v>0.20217751824930963</v>
      </c>
      <c r="K16" s="90">
        <f>(E16-MIN(E9:E27))/(MAX(E9:E27)-MIN(E9:E27))</f>
        <v>0.10320748683022149</v>
      </c>
      <c r="L16" s="91">
        <f t="shared" si="1"/>
        <v>8.1294752840837189E-2</v>
      </c>
      <c r="M16" s="85" t="str">
        <f t="shared" si="2"/>
        <v>Zona 3 - Bronce</v>
      </c>
      <c r="N16" s="92" t="str">
        <f t="shared" si="3"/>
        <v>Subir a Nivel 2 — consolidar en posición compartida</v>
      </c>
    </row>
    <row r="17" spans="1:14" x14ac:dyDescent="0.35">
      <c r="A17" s="84" t="str">
        <f>'Matriz Layout Camara'!D10</f>
        <v>POSTRE DELICIA</v>
      </c>
      <c r="B17" s="85" t="str">
        <f>'Matriz Layout Camara'!E10</f>
        <v>Rutina</v>
      </c>
      <c r="C17" s="84" t="str">
        <f>"Rack "&amp;'Matriz Layout Camara'!J10&amp;"-Niv "&amp;'Matriz Layout Camara'!K10&amp;"-Pos "&amp;'Matriz Layout Camara'!L10</f>
        <v>Rack 2-Niv 1-Pos 6</v>
      </c>
      <c r="D17" s="86">
        <f>'Matriz Layout Camara'!AG10</f>
        <v>2.5303994596881192</v>
      </c>
      <c r="E17" s="87">
        <f>'Matriz Layout Camara'!R10</f>
        <v>269.36026936026934</v>
      </c>
      <c r="F17" s="88">
        <f>'Matriz Layout Camara'!Z10</f>
        <v>0.65319587628865972</v>
      </c>
      <c r="G17" s="89">
        <f>'Matriz Layout Camara'!T10</f>
        <v>177.93931990909093</v>
      </c>
      <c r="H17" s="85">
        <f t="shared" si="0"/>
        <v>1</v>
      </c>
      <c r="I17" s="90">
        <f>(H17-MIN(H9:H27))/(MAX(H9:H27)-MIN(H9:H27))</f>
        <v>0</v>
      </c>
      <c r="J17" s="90">
        <f>1-(D17-MIN(D9:D27))/(MAX(D9:D27)-MIN(D9:D27))</f>
        <v>0</v>
      </c>
      <c r="K17" s="90">
        <f>(E17-MIN(E9:E27))/(MAX(E9:E27)-MIN(E9:E27))</f>
        <v>3.0785126145217216E-2</v>
      </c>
      <c r="L17" s="91">
        <f t="shared" si="1"/>
        <v>6.1570252290434439E-3</v>
      </c>
      <c r="M17" s="85" t="str">
        <f t="shared" si="2"/>
        <v>Zona 3 - Bronce</v>
      </c>
      <c r="N17" s="92" t="str">
        <f t="shared" si="3"/>
        <v>Subir a Nivel 2 — consolidar en posición compartida</v>
      </c>
    </row>
    <row r="18" spans="1:14" x14ac:dyDescent="0.35">
      <c r="A18" s="84" t="str">
        <f>'Matriz Layout Camara'!D11</f>
        <v>BOMBON CROCANTE</v>
      </c>
      <c r="B18" s="85" t="str">
        <f>'Matriz Layout Camara'!E11</f>
        <v>Criticos</v>
      </c>
      <c r="C18" s="84" t="str">
        <f>"Rack "&amp;'Matriz Layout Camara'!J11&amp;"-Niv "&amp;'Matriz Layout Camara'!K11&amp;"-Pos "&amp;'Matriz Layout Camara'!L11</f>
        <v>Rack 2-Niv 1-Pos 2</v>
      </c>
      <c r="D18" s="86">
        <f>'Matriz Layout Camara'!AG11</f>
        <v>1.8285459031226856</v>
      </c>
      <c r="E18" s="87">
        <f>'Matriz Layout Camara'!R11</f>
        <v>277.46810355506005</v>
      </c>
      <c r="F18" s="88">
        <f>'Matriz Layout Camara'!Z11</f>
        <v>0.87750000000000006</v>
      </c>
      <c r="G18" s="89">
        <f>'Matriz Layout Camara'!T11</f>
        <v>489.33312975000007</v>
      </c>
      <c r="H18" s="85">
        <f t="shared" si="0"/>
        <v>3</v>
      </c>
      <c r="I18" s="90">
        <f>(H18-MIN(H9:H27))/(MAX(H9:H27)-MIN(H9:H27))</f>
        <v>1</v>
      </c>
      <c r="J18" s="90">
        <f>1-(D18-MIN(D9:D27))/(MAX(D9:D27)-MIN(D9:D27))</f>
        <v>0.47666054560250792</v>
      </c>
      <c r="K18" s="90">
        <f>(E18-MIN(E9:E27))/(MAX(E9:E27)-MIN(E9:E27))</f>
        <v>4.713465573129675E-2</v>
      </c>
      <c r="L18" s="91">
        <f t="shared" si="1"/>
        <v>0.65242509482701172</v>
      </c>
      <c r="M18" s="85" t="str">
        <f t="shared" si="2"/>
        <v>Zona 1 - Oro</v>
      </c>
      <c r="N18" s="92" t="str">
        <f t="shared" si="3"/>
        <v>Mantener en Nivel 1 — posición dedicada</v>
      </c>
    </row>
    <row r="19" spans="1:14" ht="28" x14ac:dyDescent="0.35">
      <c r="A19" s="84" t="str">
        <f>'Matriz Layout Camara'!D12</f>
        <v>BOMBON SECRETO</v>
      </c>
      <c r="B19" s="85" t="str">
        <f>'Matriz Layout Camara'!E12</f>
        <v>Estrategicos Financieros</v>
      </c>
      <c r="C19" s="84" t="str">
        <f>"Rack "&amp;'Matriz Layout Camara'!J12&amp;"-Niv "&amp;'Matriz Layout Camara'!K12&amp;"-Pos "&amp;'Matriz Layout Camara'!L12</f>
        <v>Rack 2-Niv 1-Pos 4</v>
      </c>
      <c r="D19" s="86">
        <f>'Matriz Layout Camara'!AG12</f>
        <v>1.868456543578481</v>
      </c>
      <c r="E19" s="87">
        <f>'Matriz Layout Camara'!R12</f>
        <v>274.09700722394223</v>
      </c>
      <c r="F19" s="88">
        <f>'Matriz Layout Camara'!Z12</f>
        <v>0.86931818181818177</v>
      </c>
      <c r="G19" s="89">
        <f>'Matriz Layout Camara'!T12</f>
        <v>444.84829977272733</v>
      </c>
      <c r="H19" s="85">
        <f t="shared" si="0"/>
        <v>2</v>
      </c>
      <c r="I19" s="90">
        <f>(H19-MIN(H9:H27))/(MAX(H9:H27)-MIN(H9:H27))</f>
        <v>0.5</v>
      </c>
      <c r="J19" s="90">
        <f>1-(D19-MIN(D9:D27))/(MAX(D9:D27)-MIN(D9:D27))</f>
        <v>0.44955542163890028</v>
      </c>
      <c r="K19" s="90">
        <f>(E19-MIN(E9:E27))/(MAX(E9:E27)-MIN(E9:E27))</f>
        <v>4.0336805913580076E-2</v>
      </c>
      <c r="L19" s="91">
        <f t="shared" si="1"/>
        <v>0.39293398767438609</v>
      </c>
      <c r="M19" s="85" t="str">
        <f t="shared" si="2"/>
        <v>Zona 2 - Plata</v>
      </c>
      <c r="N19" s="92" t="str">
        <f t="shared" si="3"/>
        <v>Mantener en Nivel 1 — posición dedicada</v>
      </c>
    </row>
    <row r="20" spans="1:14" x14ac:dyDescent="0.35">
      <c r="A20" s="84" t="str">
        <f>'Matriz Layout Camara'!D13</f>
        <v>FAMILIARES_1</v>
      </c>
      <c r="B20" s="85" t="str">
        <f>'Matriz Layout Camara'!E13</f>
        <v>Criticos</v>
      </c>
      <c r="C20" s="84" t="str">
        <f>"Rack "&amp;'Matriz Layout Camara'!J13&amp;"-Niv "&amp;'Matriz Layout Camara'!K13&amp;"-Pos "&amp;'Matriz Layout Camara'!L13</f>
        <v>Rack 2-Niv 2-Pos 1</v>
      </c>
      <c r="D20" s="86">
        <f>'Matriz Layout Camara'!AG13</f>
        <v>1.6111422973568919</v>
      </c>
      <c r="E20" s="87">
        <f>'Matriz Layout Camara'!R13</f>
        <v>410.25641025641033</v>
      </c>
      <c r="F20" s="88">
        <f>'Matriz Layout Camara'!Z13</f>
        <v>0.67356076759061834</v>
      </c>
      <c r="G20" s="89">
        <f>'Matriz Layout Camara'!T13</f>
        <v>200.18173489772732</v>
      </c>
      <c r="H20" s="85">
        <f t="shared" si="0"/>
        <v>3</v>
      </c>
      <c r="I20" s="90">
        <f>(H20-MIN(H9:H27))/(MAX(H9:H27)-MIN(H9:H27))</f>
        <v>1</v>
      </c>
      <c r="J20" s="90">
        <f>1-(D20-MIN(D9:D27))/(MAX(D9:D27)-MIN(D9:D27))</f>
        <v>0.62430918308663619</v>
      </c>
      <c r="K20" s="90">
        <f>(E20-MIN(E9:E27))/(MAX(E9:E27)-MIN(E9:E27))</f>
        <v>0.3149036180633108</v>
      </c>
      <c r="L20" s="91">
        <f t="shared" si="1"/>
        <v>0.750273478538653</v>
      </c>
      <c r="M20" s="85" t="str">
        <f t="shared" si="2"/>
        <v>Zona 1 - Oro</v>
      </c>
      <c r="N20" s="92" t="str">
        <f t="shared" si="3"/>
        <v>Bajar a Nivel 1 — posición dedicada cerca de puerta</v>
      </c>
    </row>
    <row r="21" spans="1:14" x14ac:dyDescent="0.35">
      <c r="A21" s="84" t="str">
        <f>'Matriz Layout Camara'!D14</f>
        <v>FAMILIARES_2</v>
      </c>
      <c r="B21" s="85" t="str">
        <f>'Matriz Layout Camara'!E14</f>
        <v>Criticos</v>
      </c>
      <c r="C21" s="84" t="str">
        <f>"Rack "&amp;'Matriz Layout Camara'!J14&amp;"-Niv "&amp;'Matriz Layout Camara'!K14&amp;"-Pos "&amp;'Matriz Layout Camara'!L14</f>
        <v>Rack 2-Niv 2-Pos 2</v>
      </c>
      <c r="D21" s="86">
        <f>'Matriz Layout Camara'!AG14</f>
        <v>1.6111422973568919</v>
      </c>
      <c r="E21" s="87">
        <f>'Matriz Layout Camara'!R14</f>
        <v>410.25641025641033</v>
      </c>
      <c r="F21" s="88">
        <f>'Matriz Layout Camara'!Z14</f>
        <v>0.67356076759061834</v>
      </c>
      <c r="G21" s="89">
        <f>'Matriz Layout Camara'!T14</f>
        <v>200.18173489772732</v>
      </c>
      <c r="H21" s="85">
        <f t="shared" si="0"/>
        <v>3</v>
      </c>
      <c r="I21" s="90">
        <f>(H21-MIN(H9:H27))/(MAX(H9:H27)-MIN(H9:H27))</f>
        <v>1</v>
      </c>
      <c r="J21" s="90">
        <f>1-(D21-MIN(D9:D27))/(MAX(D9:D27)-MIN(D9:D27))</f>
        <v>0.62430918308663619</v>
      </c>
      <c r="K21" s="90">
        <f>(E21-MIN(E9:E27))/(MAX(E9:E27)-MIN(E9:E27))</f>
        <v>0.3149036180633108</v>
      </c>
      <c r="L21" s="91">
        <f t="shared" si="1"/>
        <v>0.750273478538653</v>
      </c>
      <c r="M21" s="85" t="str">
        <f t="shared" si="2"/>
        <v>Zona 1 - Oro</v>
      </c>
      <c r="N21" s="92" t="str">
        <f t="shared" si="3"/>
        <v>Bajar a Nivel 1 — posición dedicada cerca de puerta</v>
      </c>
    </row>
    <row r="22" spans="1:14" x14ac:dyDescent="0.35">
      <c r="A22" s="84" t="str">
        <f>'Matriz Layout Camara'!D15</f>
        <v>FAMILIARES_2</v>
      </c>
      <c r="B22" s="85" t="str">
        <f>'Matriz Layout Camara'!E15</f>
        <v>Criticos</v>
      </c>
      <c r="C22" s="84" t="str">
        <f>"Rack "&amp;'Matriz Layout Camara'!J15&amp;"-Niv "&amp;'Matriz Layout Camara'!K15&amp;"-Pos "&amp;'Matriz Layout Camara'!L15</f>
        <v>Rack 2-Niv 2-Pos 3</v>
      </c>
      <c r="D22" s="86">
        <f>'Matriz Layout Camara'!AG15</f>
        <v>1.6111422973568919</v>
      </c>
      <c r="E22" s="87">
        <f>'Matriz Layout Camara'!R15</f>
        <v>410.25641025641033</v>
      </c>
      <c r="F22" s="88">
        <f>'Matriz Layout Camara'!Z15</f>
        <v>0.67356076759061834</v>
      </c>
      <c r="G22" s="89">
        <f>'Matriz Layout Camara'!T15</f>
        <v>200.18173489772732</v>
      </c>
      <c r="H22" s="85">
        <f t="shared" si="0"/>
        <v>3</v>
      </c>
      <c r="I22" s="90">
        <f>(H22-MIN(H9:H27))/(MAX(H9:H27)-MIN(H9:H27))</f>
        <v>1</v>
      </c>
      <c r="J22" s="90">
        <f>1-(D22-MIN(D9:D27))/(MAX(D9:D27)-MIN(D9:D27))</f>
        <v>0.62430918308663619</v>
      </c>
      <c r="K22" s="90">
        <f>(E22-MIN(E9:E27))/(MAX(E9:E27)-MIN(E9:E27))</f>
        <v>0.3149036180633108</v>
      </c>
      <c r="L22" s="91">
        <f t="shared" si="1"/>
        <v>0.750273478538653</v>
      </c>
      <c r="M22" s="85" t="str">
        <f t="shared" si="2"/>
        <v>Zona 1 - Oro</v>
      </c>
      <c r="N22" s="92" t="str">
        <f t="shared" si="3"/>
        <v>Bajar a Nivel 1 — posición dedicada cerca de puerta</v>
      </c>
    </row>
    <row r="23" spans="1:14" x14ac:dyDescent="0.35">
      <c r="A23" s="84" t="str">
        <f>'Matriz Layout Camara'!D16</f>
        <v>FAMILIARES_3</v>
      </c>
      <c r="B23" s="85" t="str">
        <f>'Matriz Layout Camara'!E16</f>
        <v>Criticos</v>
      </c>
      <c r="C23" s="84" t="str">
        <f>"Rack "&amp;'Matriz Layout Camara'!J16&amp;"-Niv "&amp;'Matriz Layout Camara'!K16&amp;"-Pos "&amp;'Matriz Layout Camara'!L16</f>
        <v>Rack 2-Niv 2-Pos 4</v>
      </c>
      <c r="D23" s="86">
        <f>'Matriz Layout Camara'!AG16</f>
        <v>1.6111422973568919</v>
      </c>
      <c r="E23" s="87">
        <f>'Matriz Layout Camara'!R16</f>
        <v>410.25641025641033</v>
      </c>
      <c r="F23" s="88">
        <f>'Matriz Layout Camara'!Z16</f>
        <v>0.67356076759061834</v>
      </c>
      <c r="G23" s="89">
        <f>'Matriz Layout Camara'!T16</f>
        <v>200.18173489772732</v>
      </c>
      <c r="H23" s="85">
        <f t="shared" si="0"/>
        <v>3</v>
      </c>
      <c r="I23" s="90">
        <f>(H23-MIN(H9:H27))/(MAX(H9:H27)-MIN(H9:H27))</f>
        <v>1</v>
      </c>
      <c r="J23" s="90">
        <f>1-(D23-MIN(D9:D27))/(MAX(D9:D27)-MIN(D9:D27))</f>
        <v>0.62430918308663619</v>
      </c>
      <c r="K23" s="90">
        <f>(E23-MIN(E9:E27))/(MAX(E9:E27)-MIN(E9:E27))</f>
        <v>0.3149036180633108</v>
      </c>
      <c r="L23" s="91">
        <f t="shared" si="1"/>
        <v>0.750273478538653</v>
      </c>
      <c r="M23" s="85" t="str">
        <f t="shared" si="2"/>
        <v>Zona 1 - Oro</v>
      </c>
      <c r="N23" s="92" t="str">
        <f t="shared" si="3"/>
        <v>Bajar a Nivel 1 — posición dedicada cerca de puerta</v>
      </c>
    </row>
    <row r="24" spans="1:14" x14ac:dyDescent="0.35">
      <c r="A24" s="84" t="str">
        <f>'Matriz Layout Camara'!D17</f>
        <v>FAMILIARES_3</v>
      </c>
      <c r="B24" s="85" t="str">
        <f>'Matriz Layout Camara'!E17</f>
        <v>Criticos</v>
      </c>
      <c r="C24" s="84" t="str">
        <f>"Rack "&amp;'Matriz Layout Camara'!J17&amp;"-Niv "&amp;'Matriz Layout Camara'!K17&amp;"-Pos "&amp;'Matriz Layout Camara'!L17</f>
        <v>Rack 2-Niv 2-Pos 5</v>
      </c>
      <c r="D24" s="86">
        <f>'Matriz Layout Camara'!AG17</f>
        <v>1.6111422973568919</v>
      </c>
      <c r="E24" s="87">
        <f>'Matriz Layout Camara'!R17</f>
        <v>410.25641025641033</v>
      </c>
      <c r="F24" s="88">
        <f>'Matriz Layout Camara'!Z17</f>
        <v>0.67356076759061834</v>
      </c>
      <c r="G24" s="89">
        <f>'Matriz Layout Camara'!T17</f>
        <v>200.18173489772732</v>
      </c>
      <c r="H24" s="85">
        <f t="shared" si="0"/>
        <v>3</v>
      </c>
      <c r="I24" s="90">
        <f>(H24-MIN(H9:H27))/(MAX(H9:H27)-MIN(H9:H27))</f>
        <v>1</v>
      </c>
      <c r="J24" s="90">
        <f>1-(D24-MIN(D9:D27))/(MAX(D9:D27)-MIN(D9:D27))</f>
        <v>0.62430918308663619</v>
      </c>
      <c r="K24" s="90">
        <f>(E24-MIN(E9:E27))/(MAX(E9:E27)-MIN(E9:E27))</f>
        <v>0.3149036180633108</v>
      </c>
      <c r="L24" s="91">
        <f t="shared" si="1"/>
        <v>0.750273478538653</v>
      </c>
      <c r="M24" s="85" t="str">
        <f t="shared" si="2"/>
        <v>Zona 1 - Oro</v>
      </c>
      <c r="N24" s="92" t="str">
        <f t="shared" si="3"/>
        <v>Bajar a Nivel 1 — posición dedicada cerca de puerta</v>
      </c>
    </row>
    <row r="25" spans="1:14" x14ac:dyDescent="0.35">
      <c r="A25" s="84" t="str">
        <f>'Matriz Layout Camara'!D18</f>
        <v>FAMILIARES_4</v>
      </c>
      <c r="B25" s="85" t="str">
        <f>'Matriz Layout Camara'!E18</f>
        <v>Criticos</v>
      </c>
      <c r="C25" s="84" t="str">
        <f>"Rack "&amp;'Matriz Layout Camara'!J18&amp;"-Niv "&amp;'Matriz Layout Camara'!K18&amp;"-Pos "&amp;'Matriz Layout Camara'!L18</f>
        <v>Rack 2-Niv 2-Pos 6</v>
      </c>
      <c r="D25" s="86">
        <f>'Matriz Layout Camara'!AG18</f>
        <v>1.6111422973568919</v>
      </c>
      <c r="E25" s="87">
        <f>'Matriz Layout Camara'!R18</f>
        <v>410.25641025641033</v>
      </c>
      <c r="F25" s="88">
        <f>'Matriz Layout Camara'!Z18</f>
        <v>0.67356076759061834</v>
      </c>
      <c r="G25" s="89">
        <f>'Matriz Layout Camara'!T18</f>
        <v>200.18173489772732</v>
      </c>
      <c r="H25" s="85">
        <f t="shared" si="0"/>
        <v>3</v>
      </c>
      <c r="I25" s="90">
        <f>(H25-MIN(H9:H27))/(MAX(H9:H27)-MIN(H9:H27))</f>
        <v>1</v>
      </c>
      <c r="J25" s="90">
        <f>1-(D25-MIN(D9:D27))/(MAX(D9:D27)-MIN(D9:D27))</f>
        <v>0.62430918308663619</v>
      </c>
      <c r="K25" s="90">
        <f>(E25-MIN(E9:E27))/(MAX(E9:E27)-MIN(E9:E27))</f>
        <v>0.3149036180633108</v>
      </c>
      <c r="L25" s="91">
        <f t="shared" si="1"/>
        <v>0.750273478538653</v>
      </c>
      <c r="M25" s="85" t="str">
        <f t="shared" si="2"/>
        <v>Zona 1 - Oro</v>
      </c>
      <c r="N25" s="92" t="str">
        <f t="shared" si="3"/>
        <v>Bajar a Nivel 1 — posición dedicada cerca de puerta</v>
      </c>
    </row>
    <row r="26" spans="1:14" ht="28.5" x14ac:dyDescent="0.35">
      <c r="A26" s="84" t="str">
        <f>'Matriz Layout Camara'!D19</f>
        <v>TENTACIONES_1 (Dulce de Leche Granizado/Chocolate con Almendras/Limon/Granizado/Cookie)</v>
      </c>
      <c r="B26" s="85" t="str">
        <f>'Matriz Layout Camara'!E19</f>
        <v>Criticos</v>
      </c>
      <c r="C26" s="84" t="str">
        <f>"Rack "&amp;'Matriz Layout Camara'!J19&amp;"-Niv "&amp;'Matriz Layout Camara'!K19&amp;"-Pos "&amp;'Matriz Layout Camara'!L19</f>
        <v>Rack 3-Niv 1-Pos 6</v>
      </c>
      <c r="D26" s="86">
        <f>'Matriz Layout Camara'!AG19</f>
        <v>1.4106140037088433</v>
      </c>
      <c r="E26" s="87">
        <f>'Matriz Layout Camara'!R19</f>
        <v>387.18728080430202</v>
      </c>
      <c r="F26" s="88">
        <f>'Matriz Layout Camara'!Z19</f>
        <v>0.35744265948556037</v>
      </c>
      <c r="G26" s="89">
        <f>'Matriz Layout Camara'!T19</f>
        <v>735.67740821271434</v>
      </c>
      <c r="H26" s="85">
        <f t="shared" si="0"/>
        <v>3</v>
      </c>
      <c r="I26" s="90">
        <f>(H26-MIN(H9:H27))/(MAX(H9:H27)-MIN(H9:H27))</f>
        <v>1</v>
      </c>
      <c r="J26" s="90">
        <f>1-(D26-MIN(D9:D27))/(MAX(D9:D27)-MIN(D9:D27))</f>
        <v>0.76049703162695703</v>
      </c>
      <c r="K26" s="90">
        <f>(E26-MIN(E9:E27))/(MAX(E9:E27)-MIN(E9:E27))</f>
        <v>0.26838448540212795</v>
      </c>
      <c r="L26" s="91">
        <f t="shared" si="1"/>
        <v>0.78182600656851264</v>
      </c>
      <c r="M26" s="85" t="str">
        <f t="shared" si="2"/>
        <v>Zona 1 - Oro</v>
      </c>
      <c r="N26" s="92" t="str">
        <f t="shared" si="3"/>
        <v>Mantener posición (misma) — REDENSIFICAR estibado a &gt;=88% util. volumétrica</v>
      </c>
    </row>
    <row r="27" spans="1:14" ht="28.5" x14ac:dyDescent="0.35">
      <c r="A27" s="84" t="str">
        <f>'Matriz Layout Camara'!D20</f>
        <v>TENTACIONES_2 (Toddy galletitas/Frutilla/Crema Americana/Chocolate/Menta Granizada/Vainilla/Cadbury y Cocolate con Almendras)</v>
      </c>
      <c r="B27" s="85" t="str">
        <f>'Matriz Layout Camara'!E20</f>
        <v>Rutina</v>
      </c>
      <c r="C27" s="84" t="str">
        <f>"Rack "&amp;'Matriz Layout Camara'!J20&amp;"-Niv "&amp;'Matriz Layout Camara'!K20&amp;"-Pos "&amp;'Matriz Layout Camara'!L20</f>
        <v>Rack 3-Niv 2-Pos 6</v>
      </c>
      <c r="D27" s="86">
        <f>'Matriz Layout Camara'!AG20</f>
        <v>1.0579605027816326</v>
      </c>
      <c r="E27" s="87">
        <f>'Matriz Layout Camara'!R20</f>
        <v>387.18728080430202</v>
      </c>
      <c r="F27" s="88">
        <f>'Matriz Layout Camara'!Z20</f>
        <v>0.47659021264741386</v>
      </c>
      <c r="G27" s="89">
        <f>'Matriz Layout Camara'!T20</f>
        <v>980.90321095028582</v>
      </c>
      <c r="H27" s="85">
        <f t="shared" si="0"/>
        <v>1</v>
      </c>
      <c r="I27" s="90">
        <f>(H27-MIN(H9:H27))/(MAX(H9:H27)-MIN(H9:H27))</f>
        <v>0</v>
      </c>
      <c r="J27" s="90">
        <f>1-(D27-MIN(D9:D27))/(MAX(D9:D27)-MIN(D9:D27))</f>
        <v>1</v>
      </c>
      <c r="K27" s="90">
        <f>(E27-MIN(E9:E27))/(MAX(E9:E27)-MIN(E9:E27))</f>
        <v>0.26838448540212795</v>
      </c>
      <c r="L27" s="91">
        <f t="shared" si="1"/>
        <v>0.3536768970804256</v>
      </c>
      <c r="M27" s="85" t="str">
        <f t="shared" si="2"/>
        <v>Zona 2 - Plata</v>
      </c>
      <c r="N27" s="92" t="str">
        <f t="shared" si="3"/>
        <v>Mantener posición (misma) — REDENSIFICAR estibado a &gt;=88% util. volumétrica</v>
      </c>
    </row>
    <row r="30" spans="1:14" ht="15" customHeight="1" x14ac:dyDescent="0.35">
      <c r="A30" s="93" t="s">
        <v>95</v>
      </c>
    </row>
    <row r="31" spans="1:14" ht="15" customHeight="1" x14ac:dyDescent="0.35">
      <c r="A31" s="94" t="s">
        <v>96</v>
      </c>
      <c r="D31" s="95">
        <f>SUM(G9:G27)</f>
        <v>15613.641504063</v>
      </c>
    </row>
    <row r="32" spans="1:14" ht="15" customHeight="1" x14ac:dyDescent="0.35">
      <c r="A32" s="94" t="s">
        <v>97</v>
      </c>
      <c r="D32" s="95">
        <f>SUMIF(A9:A27,"GRANEL A",G9:G27)+SUMIF(A9:A27,"GRANEL B",G9:G27)+SUMPRODUCT(ISNUMBER(SEARCH("TENTACIONES",A9:A27))*G9:G27)</f>
        <v>11698.976466063001</v>
      </c>
    </row>
    <row r="33" spans="1:8" ht="15" customHeight="1" x14ac:dyDescent="0.35">
      <c r="A33" s="94" t="s">
        <v>98</v>
      </c>
      <c r="D33" s="96">
        <f>D32/D31</f>
        <v>0.74927917763570273</v>
      </c>
    </row>
    <row r="34" spans="1:8" ht="15" customHeight="1" x14ac:dyDescent="0.35">
      <c r="A34" s="94" t="s">
        <v>99</v>
      </c>
      <c r="D34" s="96">
        <f>AVERAGE(SUMIF(A9:A27,"GRANEL A",F9:F27),SUMIF(A9:A27,"GRANEL B",F9:F27),SUMPRODUCT(ISNUMBER(SEARCH("TENTACIONES_1",A9:A27))*F9:F27),SUMPRODUCT(ISNUMBER(SEARCH("TENTACIONES_2",A9:A27))*F9:F27))</f>
        <v>0.51941915849399956</v>
      </c>
    </row>
    <row r="35" spans="1:8" ht="15" customHeight="1" x14ac:dyDescent="0.35">
      <c r="A35" s="94" t="s">
        <v>100</v>
      </c>
      <c r="D35" s="97">
        <v>0.88</v>
      </c>
    </row>
    <row r="36" spans="1:8" ht="15" customHeight="1" x14ac:dyDescent="0.35">
      <c r="A36" s="94" t="s">
        <v>101</v>
      </c>
      <c r="C36" s="80" t="s">
        <v>102</v>
      </c>
      <c r="D36" s="97">
        <v>0.05</v>
      </c>
      <c r="E36" s="80" t="s">
        <v>103</v>
      </c>
      <c r="F36" s="97">
        <v>0.1</v>
      </c>
      <c r="G36" s="151" t="s">
        <v>312</v>
      </c>
    </row>
    <row r="37" spans="1:8" ht="15" customHeight="1" x14ac:dyDescent="0.35">
      <c r="A37" s="98" t="s">
        <v>104</v>
      </c>
      <c r="C37" s="80" t="s">
        <v>102</v>
      </c>
      <c r="D37" s="95">
        <f>D32*D36</f>
        <v>584.94882330315011</v>
      </c>
      <c r="E37" s="80" t="s">
        <v>103</v>
      </c>
      <c r="F37" s="95">
        <f>D32*F36</f>
        <v>1169.8976466063002</v>
      </c>
      <c r="G37" s="152">
        <f>+(D37+F37)/2</f>
        <v>877.4232349547251</v>
      </c>
      <c r="H37" t="s">
        <v>450</v>
      </c>
    </row>
    <row r="40" spans="1:8" ht="15" customHeight="1" x14ac:dyDescent="0.35">
      <c r="A40" s="93" t="s">
        <v>105</v>
      </c>
    </row>
    <row r="41" spans="1:8" ht="26.25" customHeight="1" x14ac:dyDescent="0.35">
      <c r="A41" s="83" t="s">
        <v>106</v>
      </c>
      <c r="B41" s="83" t="s">
        <v>107</v>
      </c>
      <c r="C41" s="83" t="s">
        <v>108</v>
      </c>
    </row>
    <row r="42" spans="1:8" ht="15" customHeight="1" x14ac:dyDescent="0.35">
      <c r="A42" s="85" t="s">
        <v>109</v>
      </c>
      <c r="B42" s="89">
        <f>SUMIF($M$9:$M$27,A42,$G$9:$G$27)</f>
        <v>12853.345094021808</v>
      </c>
      <c r="C42" s="85">
        <f>COUNTIF($M$9:$M$27,A42)</f>
        <v>11</v>
      </c>
    </row>
    <row r="43" spans="1:8" ht="15" customHeight="1" x14ac:dyDescent="0.35">
      <c r="A43" s="85" t="s">
        <v>110</v>
      </c>
      <c r="B43" s="89">
        <f>SUMIF($M$9:$M$27,A43,$G$9:$G$27)</f>
        <v>1870.5998104957405</v>
      </c>
      <c r="C43" s="85">
        <f>COUNTIF($M$9:$M$27,A43)</f>
        <v>3</v>
      </c>
    </row>
    <row r="44" spans="1:8" ht="15" customHeight="1" x14ac:dyDescent="0.35">
      <c r="A44" s="85" t="s">
        <v>111</v>
      </c>
      <c r="B44" s="89">
        <f>SUMIF($M$9:$M$27,A44,$G$9:$G$27)</f>
        <v>889.69659954545466</v>
      </c>
      <c r="C44" s="85">
        <f>COUNTIF($M$9:$M$27,A44)</f>
        <v>5</v>
      </c>
    </row>
    <row r="47" spans="1:8" ht="15" customHeight="1" x14ac:dyDescent="0.35">
      <c r="A47" s="99" t="s">
        <v>112</v>
      </c>
    </row>
    <row r="48" spans="1:8" ht="15" customHeight="1" x14ac:dyDescent="0.35">
      <c r="A48" s="80" t="s">
        <v>113</v>
      </c>
    </row>
    <row r="49" spans="1:1" ht="15" customHeight="1" x14ac:dyDescent="0.35">
      <c r="A49" s="80" t="s">
        <v>114</v>
      </c>
    </row>
    <row r="50" spans="1:1" ht="15" customHeight="1" x14ac:dyDescent="0.35">
      <c r="A50" s="80" t="s">
        <v>115</v>
      </c>
    </row>
    <row r="51" spans="1:1" ht="15" customHeight="1" x14ac:dyDescent="0.35">
      <c r="A51" s="80" t="s">
        <v>116</v>
      </c>
    </row>
    <row r="52" spans="1:1" ht="15" customHeight="1" x14ac:dyDescent="0.35">
      <c r="A52" s="80" t="s">
        <v>117</v>
      </c>
    </row>
    <row r="53" spans="1:1" ht="15" customHeight="1" x14ac:dyDescent="0.35">
      <c r="A53" s="80" t="s">
        <v>118</v>
      </c>
    </row>
    <row r="54" spans="1:1" ht="15" customHeight="1" x14ac:dyDescent="0.35">
      <c r="A54" s="80" t="s">
        <v>119</v>
      </c>
    </row>
    <row r="55" spans="1:1" ht="15" customHeight="1" x14ac:dyDescent="0.35">
      <c r="A55" s="80" t="s">
        <v>120</v>
      </c>
    </row>
  </sheetData>
  <conditionalFormatting sqref="M9:M27">
    <cfRule type="expression" dxfId="2" priority="2">
      <formula>$M9="Zona 1 - Oro"</formula>
    </cfRule>
    <cfRule type="expression" dxfId="1" priority="3">
      <formula>$M9="Zona 2 - Plata"</formula>
    </cfRule>
    <cfRule type="expression" dxfId="0" priority="4">
      <formula>$M9="Zona 3 - Bronce"</formula>
    </cfRule>
  </conditionalFormatting>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J40"/>
  <sheetViews>
    <sheetView topLeftCell="A18" zoomScaleNormal="100" workbookViewId="0">
      <selection activeCell="E6" sqref="E6:F7"/>
    </sheetView>
  </sheetViews>
  <sheetFormatPr baseColWidth="10" defaultColWidth="8.6328125" defaultRowHeight="14.5" x14ac:dyDescent="0.35"/>
  <cols>
    <col min="1" max="1" width="42" customWidth="1"/>
    <col min="2" max="2" width="16" customWidth="1"/>
    <col min="3" max="5" width="13" customWidth="1"/>
    <col min="6" max="6" width="15" customWidth="1"/>
    <col min="7" max="8" width="16" customWidth="1"/>
  </cols>
  <sheetData>
    <row r="1" spans="1:10" ht="19.5" customHeight="1" x14ac:dyDescent="0.4">
      <c r="A1" s="100" t="s">
        <v>121</v>
      </c>
    </row>
    <row r="2" spans="1:10" ht="15" customHeight="1" x14ac:dyDescent="0.35">
      <c r="A2" s="101" t="s">
        <v>122</v>
      </c>
    </row>
    <row r="4" spans="1:10" ht="15" customHeight="1" x14ac:dyDescent="0.35">
      <c r="A4" s="194" t="s">
        <v>123</v>
      </c>
      <c r="B4" s="194"/>
      <c r="C4" s="194" t="s">
        <v>124</v>
      </c>
      <c r="D4" s="194"/>
      <c r="E4" s="194" t="s">
        <v>125</v>
      </c>
      <c r="F4" s="194"/>
      <c r="G4" s="194" t="s">
        <v>126</v>
      </c>
      <c r="H4" s="194"/>
    </row>
    <row r="5" spans="1:10" ht="15" customHeight="1" x14ac:dyDescent="0.35">
      <c r="A5" s="194"/>
      <c r="B5" s="194"/>
      <c r="C5" s="194"/>
      <c r="D5" s="194"/>
      <c r="E5" s="194"/>
      <c r="F5" s="194"/>
      <c r="G5" s="194"/>
      <c r="H5" s="194"/>
    </row>
    <row r="6" spans="1:10" ht="28" customHeight="1" x14ac:dyDescent="0.35">
      <c r="A6" s="195">
        <f>'Propuesta Reubicacion en camara'!D33</f>
        <v>0.74927917763570273</v>
      </c>
      <c r="B6" s="195"/>
      <c r="C6" s="196" t="str">
        <f>"USD "&amp;TEXT(G25,"#,##0")&amp;" - "&amp;TEXT(H25,"#,##0")</f>
        <v>USD 654 - 982</v>
      </c>
      <c r="D6" s="196"/>
      <c r="E6" s="197" t="str">
        <f>"USD "&amp;TEXT(G25/D12,"#,##0")&amp;" - "&amp;TEXT(H25/D12,"#,##0")</f>
        <v>USD 13,087 - 19,630</v>
      </c>
      <c r="F6" s="197"/>
      <c r="G6" s="197" t="s">
        <v>127</v>
      </c>
      <c r="H6" s="197"/>
    </row>
    <row r="7" spans="1:10" ht="28" customHeight="1" x14ac:dyDescent="0.35">
      <c r="A7" s="195"/>
      <c r="B7" s="195"/>
      <c r="C7" s="196"/>
      <c r="D7" s="196"/>
      <c r="E7" s="197"/>
      <c r="F7" s="197"/>
      <c r="G7" s="197"/>
      <c r="H7" s="197"/>
    </row>
    <row r="10" spans="1:10" ht="15" customHeight="1" x14ac:dyDescent="0.35">
      <c r="A10" s="93" t="s">
        <v>128</v>
      </c>
    </row>
    <row r="11" spans="1:10" ht="15" customHeight="1" x14ac:dyDescent="0.35">
      <c r="A11" s="102" t="s">
        <v>129</v>
      </c>
      <c r="D11" s="103">
        <v>0.32300000000000001</v>
      </c>
    </row>
    <row r="12" spans="1:10" ht="15" customHeight="1" x14ac:dyDescent="0.35">
      <c r="A12" s="102" t="s">
        <v>130</v>
      </c>
      <c r="D12" s="104">
        <v>0.05</v>
      </c>
    </row>
    <row r="13" spans="1:10" ht="15" customHeight="1" x14ac:dyDescent="0.35">
      <c r="A13" s="102" t="s">
        <v>131</v>
      </c>
      <c r="D13" s="97">
        <v>0.08</v>
      </c>
    </row>
    <row r="14" spans="1:10" ht="15" customHeight="1" x14ac:dyDescent="0.35">
      <c r="A14" s="102" t="s">
        <v>132</v>
      </c>
      <c r="D14" s="97">
        <v>0.12</v>
      </c>
    </row>
    <row r="15" spans="1:10" ht="15" customHeight="1" x14ac:dyDescent="0.35">
      <c r="A15" s="102" t="s">
        <v>133</v>
      </c>
      <c r="D15" s="105">
        <f>'Propuesta Reubicacion en camara'!D35</f>
        <v>0.88</v>
      </c>
    </row>
    <row r="16" spans="1:10" ht="15" customHeight="1" x14ac:dyDescent="0.35">
      <c r="A16" s="106"/>
      <c r="B16" s="106"/>
      <c r="C16" s="106"/>
      <c r="D16" s="106"/>
      <c r="E16" s="106"/>
      <c r="F16" s="106"/>
      <c r="G16" s="106"/>
      <c r="H16" s="106"/>
      <c r="I16" s="106"/>
      <c r="J16" s="106"/>
    </row>
    <row r="17" spans="1:10" ht="26.25" customHeight="1" x14ac:dyDescent="0.35">
      <c r="A17" s="93" t="s">
        <v>134</v>
      </c>
      <c r="B17" s="106"/>
      <c r="C17" s="106"/>
      <c r="D17" s="106"/>
      <c r="E17" s="106"/>
      <c r="F17" s="106"/>
      <c r="G17" s="106"/>
      <c r="H17" s="106"/>
      <c r="I17" s="106"/>
      <c r="J17" s="106"/>
    </row>
    <row r="18" spans="1:10" ht="15" customHeight="1" x14ac:dyDescent="0.35">
      <c r="A18" s="80" t="s">
        <v>135</v>
      </c>
      <c r="B18" s="107"/>
      <c r="C18" s="107"/>
      <c r="D18" s="107"/>
      <c r="E18" s="108"/>
      <c r="F18" s="106"/>
      <c r="G18" s="106"/>
      <c r="H18" s="106"/>
      <c r="I18" s="106"/>
      <c r="J18" s="106"/>
    </row>
    <row r="19" spans="1:10" ht="15" customHeight="1" x14ac:dyDescent="0.35">
      <c r="A19" s="106"/>
      <c r="B19" s="107"/>
      <c r="C19" s="107"/>
      <c r="D19" s="107"/>
      <c r="E19" s="108"/>
      <c r="F19" s="106"/>
      <c r="G19" s="106"/>
      <c r="H19" s="106"/>
      <c r="I19" s="106"/>
      <c r="J19" s="106"/>
    </row>
    <row r="20" spans="1:10" ht="42" x14ac:dyDescent="0.35">
      <c r="A20" s="83" t="s">
        <v>82</v>
      </c>
      <c r="B20" s="109" t="s">
        <v>136</v>
      </c>
      <c r="C20" s="109" t="s">
        <v>137</v>
      </c>
      <c r="D20" s="109" t="s">
        <v>138</v>
      </c>
      <c r="E20" s="110" t="s">
        <v>139</v>
      </c>
      <c r="F20" s="83" t="s">
        <v>140</v>
      </c>
      <c r="G20" s="83" t="s">
        <v>313</v>
      </c>
      <c r="H20" s="83" t="s">
        <v>314</v>
      </c>
      <c r="I20" s="106"/>
      <c r="J20" s="106"/>
    </row>
    <row r="21" spans="1:10" ht="15" customHeight="1" x14ac:dyDescent="0.35">
      <c r="A21" s="84" t="s">
        <v>36</v>
      </c>
      <c r="B21" s="89">
        <f>'Propuesta Reubicacion en camara'!G9</f>
        <v>5871.9975570000006</v>
      </c>
      <c r="C21" s="88">
        <f>'Propuesta Reubicacion en camara'!F9</f>
        <v>0.61402214022140222</v>
      </c>
      <c r="D21" s="88">
        <f>1-C21</f>
        <v>0.38597785977859778</v>
      </c>
      <c r="E21" s="88">
        <f>1-$D$15</f>
        <v>0.12</v>
      </c>
      <c r="F21" s="88">
        <f>(D21-E21)/D21</f>
        <v>0.6891013384321224</v>
      </c>
      <c r="G21" s="89">
        <f>B21*$D$13*F21</f>
        <v>323.71211006390831</v>
      </c>
      <c r="H21" s="89">
        <f>B21*$D$14*F21</f>
        <v>485.56816509586235</v>
      </c>
      <c r="I21" s="106"/>
      <c r="J21" s="106"/>
    </row>
    <row r="22" spans="1:10" ht="15" customHeight="1" x14ac:dyDescent="0.35">
      <c r="A22" s="84" t="s">
        <v>43</v>
      </c>
      <c r="B22" s="89">
        <f>'Propuesta Reubicacion en camara'!G10</f>
        <v>4110.3982899000002</v>
      </c>
      <c r="C22" s="88">
        <f>'Propuesta Reubicacion en camara'!F10</f>
        <v>0.62962162162162161</v>
      </c>
      <c r="D22" s="88">
        <f>1-C22</f>
        <v>0.37037837837837839</v>
      </c>
      <c r="E22" s="88">
        <f>1-$D$15</f>
        <v>0.12</v>
      </c>
      <c r="F22" s="88">
        <f>(D22-E22)/D22</f>
        <v>0.67600700525394053</v>
      </c>
      <c r="G22" s="89">
        <f>B22*$D$13*F22</f>
        <v>222.2926430684974</v>
      </c>
      <c r="H22" s="89">
        <f>B22*$D$14*F22</f>
        <v>333.43896460274613</v>
      </c>
      <c r="I22" s="106"/>
      <c r="J22" s="106"/>
    </row>
    <row r="23" spans="1:10" ht="15" customHeight="1" x14ac:dyDescent="0.35">
      <c r="A23" s="84" t="s">
        <v>141</v>
      </c>
      <c r="B23" s="89">
        <f>'Propuesta Reubicacion en camara'!G26</f>
        <v>735.67740821271434</v>
      </c>
      <c r="C23" s="88">
        <f>'Propuesta Reubicacion en camara'!F26</f>
        <v>0.35744265948556037</v>
      </c>
      <c r="D23" s="88">
        <f>1-C23</f>
        <v>0.64255734051443958</v>
      </c>
      <c r="E23" s="88">
        <f>1-$D$15</f>
        <v>0.12</v>
      </c>
      <c r="F23" s="88">
        <f>(D23-E23)/D23</f>
        <v>0.81324623899880055</v>
      </c>
      <c r="G23" s="89">
        <f>B23*$D$13*F23</f>
        <v>47.862950827630023</v>
      </c>
      <c r="H23" s="89">
        <f>B23*$D$14*F23</f>
        <v>71.794426241445024</v>
      </c>
      <c r="I23" s="106"/>
      <c r="J23" s="106"/>
    </row>
    <row r="24" spans="1:10" ht="15" customHeight="1" x14ac:dyDescent="0.35">
      <c r="A24" s="84" t="s">
        <v>142</v>
      </c>
      <c r="B24" s="89">
        <f>'Propuesta Reubicacion en camara'!G27</f>
        <v>980.90321095028582</v>
      </c>
      <c r="C24" s="88">
        <f>'Propuesta Reubicacion en camara'!F27</f>
        <v>0.47659021264741386</v>
      </c>
      <c r="D24" s="88">
        <f>1-C24</f>
        <v>0.52340978735258614</v>
      </c>
      <c r="E24" s="88">
        <f>1-$D$15</f>
        <v>0.12</v>
      </c>
      <c r="F24" s="88">
        <f>(D24-E24)/D24</f>
        <v>0.7707341305042047</v>
      </c>
      <c r="G24" s="89">
        <f>B24*$D$13*F24</f>
        <v>60.481246672044087</v>
      </c>
      <c r="H24" s="89">
        <f>B24*$D$14*F24</f>
        <v>90.721870008066119</v>
      </c>
      <c r="I24" s="106" t="s">
        <v>315</v>
      </c>
      <c r="J24" s="106"/>
    </row>
    <row r="25" spans="1:10" ht="15" customHeight="1" x14ac:dyDescent="0.35">
      <c r="A25" s="111" t="s">
        <v>143</v>
      </c>
      <c r="B25" s="112">
        <f>SUM(B21:B24)</f>
        <v>11698.976466063001</v>
      </c>
      <c r="C25" s="113"/>
      <c r="D25" s="113"/>
      <c r="E25" s="113"/>
      <c r="F25" s="113"/>
      <c r="G25" s="112">
        <f>SUM(G21:G24)</f>
        <v>654.34895063207989</v>
      </c>
      <c r="H25" s="112">
        <f>SUM(H21:H24)</f>
        <v>981.52342594811967</v>
      </c>
      <c r="I25" s="107">
        <f>(G25+H25)/2</f>
        <v>817.93618829009984</v>
      </c>
      <c r="J25" s="106"/>
    </row>
    <row r="26" spans="1:10" ht="15" customHeight="1" x14ac:dyDescent="0.35">
      <c r="A26" s="93" t="s">
        <v>144</v>
      </c>
    </row>
    <row r="27" spans="1:10" ht="26.25" customHeight="1" x14ac:dyDescent="0.35">
      <c r="A27" s="83" t="s">
        <v>82</v>
      </c>
      <c r="B27" s="83" t="s">
        <v>145</v>
      </c>
      <c r="C27" s="83" t="s">
        <v>146</v>
      </c>
      <c r="D27" s="83" t="s">
        <v>147</v>
      </c>
    </row>
    <row r="28" spans="1:10" ht="15" customHeight="1" x14ac:dyDescent="0.35">
      <c r="A28" s="114" t="s">
        <v>43</v>
      </c>
      <c r="B28" s="115">
        <v>4110.3999999999996</v>
      </c>
      <c r="C28" s="115">
        <v>9982.4</v>
      </c>
      <c r="D28" s="116">
        <f>C28/B28</f>
        <v>2.4285714285714288</v>
      </c>
    </row>
    <row r="29" spans="1:10" ht="15" customHeight="1" x14ac:dyDescent="0.35">
      <c r="A29" s="114" t="s">
        <v>66</v>
      </c>
      <c r="B29" s="115">
        <v>200.18</v>
      </c>
      <c r="C29" s="115">
        <v>3914.67</v>
      </c>
      <c r="D29" s="116">
        <f>C29/B29</f>
        <v>19.55574982515736</v>
      </c>
    </row>
    <row r="30" spans="1:10" ht="15" customHeight="1" x14ac:dyDescent="0.35">
      <c r="A30" s="114" t="s">
        <v>142</v>
      </c>
      <c r="B30" s="115">
        <v>980.9</v>
      </c>
      <c r="C30" s="115">
        <v>1716.58</v>
      </c>
      <c r="D30" s="116">
        <f>C30/B30</f>
        <v>1.7500050973595678</v>
      </c>
    </row>
    <row r="32" spans="1:10" ht="30" customHeight="1" x14ac:dyDescent="0.35">
      <c r="A32" s="192" t="s">
        <v>316</v>
      </c>
      <c r="B32" s="192"/>
      <c r="C32" s="192"/>
      <c r="D32" s="192"/>
      <c r="E32" s="192"/>
      <c r="F32" s="192"/>
      <c r="G32" s="192"/>
      <c r="H32" s="192"/>
    </row>
    <row r="33" spans="1:8" ht="15" customHeight="1" x14ac:dyDescent="0.35">
      <c r="A33" s="192"/>
      <c r="B33" s="192"/>
      <c r="C33" s="192"/>
      <c r="D33" s="192"/>
      <c r="E33" s="192"/>
      <c r="F33" s="192"/>
      <c r="G33" s="192"/>
      <c r="H33" s="192"/>
    </row>
    <row r="34" spans="1:8" ht="15" customHeight="1" x14ac:dyDescent="0.35">
      <c r="A34" s="192"/>
      <c r="B34" s="192"/>
      <c r="C34" s="192"/>
      <c r="D34" s="192"/>
      <c r="E34" s="192"/>
      <c r="F34" s="192"/>
      <c r="G34" s="192"/>
      <c r="H34" s="192"/>
    </row>
    <row r="36" spans="1:8" ht="15" customHeight="1" x14ac:dyDescent="0.35">
      <c r="A36" s="93" t="s">
        <v>148</v>
      </c>
    </row>
    <row r="37" spans="1:8" ht="30" customHeight="1" x14ac:dyDescent="0.35">
      <c r="A37" s="193" t="s">
        <v>149</v>
      </c>
      <c r="B37" s="193"/>
      <c r="C37" s="193"/>
      <c r="D37" s="193"/>
      <c r="E37" s="193"/>
      <c r="F37" s="193"/>
      <c r="G37" s="193"/>
      <c r="H37" s="193"/>
    </row>
    <row r="38" spans="1:8" ht="30" customHeight="1" x14ac:dyDescent="0.35">
      <c r="A38" s="193" t="s">
        <v>150</v>
      </c>
      <c r="B38" s="193"/>
      <c r="C38" s="193"/>
      <c r="D38" s="193"/>
      <c r="E38" s="193"/>
      <c r="F38" s="193"/>
      <c r="G38" s="193"/>
      <c r="H38" s="193"/>
    </row>
    <row r="39" spans="1:8" ht="30" customHeight="1" x14ac:dyDescent="0.35">
      <c r="A39" s="193" t="s">
        <v>151</v>
      </c>
      <c r="B39" s="193"/>
      <c r="C39" s="193"/>
      <c r="D39" s="193"/>
      <c r="E39" s="193"/>
      <c r="F39" s="193"/>
      <c r="G39" s="193"/>
      <c r="H39" s="193"/>
    </row>
    <row r="40" spans="1:8" ht="30" customHeight="1" x14ac:dyDescent="0.35">
      <c r="A40" s="193" t="s">
        <v>152</v>
      </c>
      <c r="B40" s="193"/>
      <c r="C40" s="193"/>
      <c r="D40" s="193"/>
      <c r="E40" s="193"/>
      <c r="F40" s="193"/>
      <c r="G40" s="193"/>
      <c r="H40" s="193"/>
    </row>
  </sheetData>
  <mergeCells count="13">
    <mergeCell ref="A4:B5"/>
    <mergeCell ref="C4:D5"/>
    <mergeCell ref="E4:F5"/>
    <mergeCell ref="G4:H5"/>
    <mergeCell ref="A6:B7"/>
    <mergeCell ref="C6:D7"/>
    <mergeCell ref="E6:F7"/>
    <mergeCell ref="G6:H7"/>
    <mergeCell ref="A32:H34"/>
    <mergeCell ref="A37:H37"/>
    <mergeCell ref="A38:H38"/>
    <mergeCell ref="A39:H39"/>
    <mergeCell ref="A40:H40"/>
  </mergeCells>
  <pageMargins left="0.75" right="0.75" top="1" bottom="1" header="0.511811023622047" footer="0.511811023622047"/>
  <pageSetup paperSize="9" orientation="portrait" horizontalDpi="300" verticalDpi="300"/>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filterMode="1"/>
  <dimension ref="A1:F32"/>
  <sheetViews>
    <sheetView topLeftCell="A30" zoomScaleNormal="100" workbookViewId="0">
      <selection activeCell="E27" sqref="E27"/>
    </sheetView>
  </sheetViews>
  <sheetFormatPr baseColWidth="10" defaultColWidth="10.6328125" defaultRowHeight="14.5" x14ac:dyDescent="0.35"/>
  <cols>
    <col min="1" max="6" width="41.36328125" customWidth="1"/>
  </cols>
  <sheetData>
    <row r="1" spans="1:6" ht="30.75" customHeight="1" x14ac:dyDescent="0.35">
      <c r="A1" s="143" t="s">
        <v>249</v>
      </c>
    </row>
    <row r="3" spans="1:6" ht="14.25" customHeight="1" x14ac:dyDescent="0.35">
      <c r="A3" t="s">
        <v>250</v>
      </c>
    </row>
    <row r="5" spans="1:6" ht="14.25" customHeight="1" x14ac:dyDescent="0.35">
      <c r="A5" s="144" t="s">
        <v>251</v>
      </c>
      <c r="B5" s="144" t="s">
        <v>106</v>
      </c>
      <c r="C5" s="144" t="s">
        <v>252</v>
      </c>
      <c r="D5" s="144" t="s">
        <v>94</v>
      </c>
      <c r="E5" s="144" t="s">
        <v>253</v>
      </c>
      <c r="F5" s="144" t="s">
        <v>254</v>
      </c>
    </row>
    <row r="6" spans="1:6" ht="43.5" customHeight="1" x14ac:dyDescent="0.35">
      <c r="A6" s="145" t="s">
        <v>36</v>
      </c>
      <c r="B6" s="146" t="s">
        <v>255</v>
      </c>
      <c r="C6" s="146" t="s">
        <v>256</v>
      </c>
      <c r="D6" s="146" t="s">
        <v>256</v>
      </c>
      <c r="E6" s="145" t="s">
        <v>257</v>
      </c>
      <c r="F6" s="146" t="s">
        <v>258</v>
      </c>
    </row>
    <row r="7" spans="1:6" ht="14.25" customHeight="1" x14ac:dyDescent="0.35">
      <c r="A7" s="145" t="s">
        <v>43</v>
      </c>
      <c r="B7" s="146" t="s">
        <v>255</v>
      </c>
      <c r="C7" s="146" t="s">
        <v>259</v>
      </c>
      <c r="D7" s="146" t="s">
        <v>259</v>
      </c>
      <c r="E7" s="145" t="s">
        <v>257</v>
      </c>
      <c r="F7" s="146" t="s">
        <v>260</v>
      </c>
    </row>
    <row r="8" spans="1:6" ht="28.5" hidden="1" customHeight="1" x14ac:dyDescent="0.35">
      <c r="A8" s="145" t="s">
        <v>45</v>
      </c>
      <c r="B8" s="146" t="s">
        <v>255</v>
      </c>
      <c r="C8" s="146" t="s">
        <v>261</v>
      </c>
      <c r="D8" s="146" t="s">
        <v>261</v>
      </c>
      <c r="E8" s="145" t="s">
        <v>262</v>
      </c>
      <c r="F8" s="146" t="s">
        <v>263</v>
      </c>
    </row>
    <row r="9" spans="1:6" ht="28.5" hidden="1" customHeight="1" x14ac:dyDescent="0.35">
      <c r="A9" s="145" t="s">
        <v>61</v>
      </c>
      <c r="B9" s="146" t="s">
        <v>255</v>
      </c>
      <c r="C9" s="146" t="s">
        <v>264</v>
      </c>
      <c r="D9" s="146" t="s">
        <v>264</v>
      </c>
      <c r="E9" s="145" t="s">
        <v>262</v>
      </c>
      <c r="F9" s="146" t="s">
        <v>265</v>
      </c>
    </row>
    <row r="10" spans="1:6" ht="43.5" customHeight="1" x14ac:dyDescent="0.35">
      <c r="A10" s="145" t="s">
        <v>63</v>
      </c>
      <c r="B10" s="146" t="s">
        <v>255</v>
      </c>
      <c r="C10" s="146" t="s">
        <v>266</v>
      </c>
      <c r="D10" s="146" t="s">
        <v>267</v>
      </c>
      <c r="E10" s="146" t="s">
        <v>268</v>
      </c>
      <c r="F10" s="146" t="s">
        <v>269</v>
      </c>
    </row>
    <row r="11" spans="1:6" ht="14.25" customHeight="1" x14ac:dyDescent="0.35">
      <c r="A11" s="145" t="s">
        <v>66</v>
      </c>
      <c r="B11" s="146" t="s">
        <v>255</v>
      </c>
      <c r="C11" s="146" t="s">
        <v>270</v>
      </c>
      <c r="D11" s="146" t="s">
        <v>271</v>
      </c>
      <c r="E11" s="146" t="s">
        <v>268</v>
      </c>
      <c r="F11" s="146" t="s">
        <v>272</v>
      </c>
    </row>
    <row r="12" spans="1:6" ht="43.5" customHeight="1" x14ac:dyDescent="0.35">
      <c r="A12" s="145" t="s">
        <v>64</v>
      </c>
      <c r="B12" s="146" t="s">
        <v>255</v>
      </c>
      <c r="C12" s="146" t="s">
        <v>273</v>
      </c>
      <c r="D12" s="146" t="s">
        <v>274</v>
      </c>
      <c r="E12" s="146" t="s">
        <v>275</v>
      </c>
      <c r="F12" s="146" t="s">
        <v>276</v>
      </c>
    </row>
    <row r="13" spans="1:6" ht="14.25" customHeight="1" x14ac:dyDescent="0.35">
      <c r="A13" s="145" t="s">
        <v>65</v>
      </c>
      <c r="B13" s="146" t="s">
        <v>255</v>
      </c>
      <c r="C13" s="146" t="s">
        <v>277</v>
      </c>
      <c r="D13" s="146" t="s">
        <v>278</v>
      </c>
      <c r="E13" s="146" t="s">
        <v>275</v>
      </c>
      <c r="F13" s="146" t="s">
        <v>279</v>
      </c>
    </row>
    <row r="14" spans="1:6" ht="28.5" hidden="1" customHeight="1" x14ac:dyDescent="0.35">
      <c r="A14" s="145" t="s">
        <v>54</v>
      </c>
      <c r="B14" s="146" t="s">
        <v>280</v>
      </c>
      <c r="C14" s="146" t="s">
        <v>281</v>
      </c>
      <c r="D14" s="146" t="s">
        <v>281</v>
      </c>
      <c r="E14" s="145" t="s">
        <v>262</v>
      </c>
      <c r="F14" s="146" t="s">
        <v>282</v>
      </c>
    </row>
    <row r="15" spans="1:6" ht="14.25" hidden="1" customHeight="1" x14ac:dyDescent="0.35">
      <c r="A15" s="145" t="s">
        <v>62</v>
      </c>
      <c r="B15" s="146" t="s">
        <v>280</v>
      </c>
      <c r="C15" s="146" t="s">
        <v>283</v>
      </c>
      <c r="D15" s="146" t="s">
        <v>283</v>
      </c>
      <c r="E15" s="145" t="s">
        <v>262</v>
      </c>
      <c r="F15" s="146" t="s">
        <v>284</v>
      </c>
    </row>
    <row r="16" spans="1:6" ht="43.5" customHeight="1" x14ac:dyDescent="0.35">
      <c r="A16" s="145" t="s">
        <v>47</v>
      </c>
      <c r="B16" s="146" t="s">
        <v>285</v>
      </c>
      <c r="C16" s="146" t="s">
        <v>286</v>
      </c>
      <c r="D16" s="146" t="s">
        <v>287</v>
      </c>
      <c r="E16" s="146" t="s">
        <v>288</v>
      </c>
      <c r="F16" s="146" t="s">
        <v>289</v>
      </c>
    </row>
    <row r="17" spans="1:6" ht="14.25" customHeight="1" x14ac:dyDescent="0.35">
      <c r="A17" s="145" t="s">
        <v>52</v>
      </c>
      <c r="B17" s="146" t="s">
        <v>285</v>
      </c>
      <c r="C17" s="146" t="s">
        <v>290</v>
      </c>
      <c r="D17" s="146" t="s">
        <v>291</v>
      </c>
      <c r="E17" s="146" t="s">
        <v>288</v>
      </c>
      <c r="F17" s="146" t="s">
        <v>292</v>
      </c>
    </row>
    <row r="18" spans="1:6" ht="14.25" customHeight="1" x14ac:dyDescent="0.35">
      <c r="A18" s="145" t="s">
        <v>293</v>
      </c>
      <c r="B18" s="146" t="s">
        <v>285</v>
      </c>
      <c r="C18" s="146" t="s">
        <v>290</v>
      </c>
      <c r="D18" s="146" t="s">
        <v>291</v>
      </c>
      <c r="E18" s="146" t="s">
        <v>288</v>
      </c>
      <c r="F18" s="146" t="s">
        <v>294</v>
      </c>
    </row>
    <row r="19" spans="1:6" ht="14.25" customHeight="1" x14ac:dyDescent="0.35">
      <c r="A19" s="145" t="s">
        <v>59</v>
      </c>
      <c r="B19" s="146" t="s">
        <v>285</v>
      </c>
      <c r="C19" s="146" t="s">
        <v>295</v>
      </c>
      <c r="D19" s="146" t="s">
        <v>291</v>
      </c>
      <c r="E19" s="146" t="s">
        <v>288</v>
      </c>
      <c r="F19" s="146" t="s">
        <v>294</v>
      </c>
    </row>
    <row r="20" spans="1:6" ht="43.5" customHeight="1" x14ac:dyDescent="0.35">
      <c r="A20" s="145" t="s">
        <v>60</v>
      </c>
      <c r="B20" s="146" t="s">
        <v>285</v>
      </c>
      <c r="C20" s="146" t="s">
        <v>295</v>
      </c>
      <c r="D20" s="146" t="s">
        <v>291</v>
      </c>
      <c r="E20" s="146" t="s">
        <v>288</v>
      </c>
      <c r="F20" s="146" t="s">
        <v>296</v>
      </c>
    </row>
    <row r="21" spans="1:6" ht="64.5" customHeight="1" x14ac:dyDescent="0.35">
      <c r="A21" s="147" t="s">
        <v>141</v>
      </c>
      <c r="B21" s="147" t="s">
        <v>255</v>
      </c>
      <c r="C21" s="147" t="s">
        <v>297</v>
      </c>
      <c r="D21" s="147" t="s">
        <v>297</v>
      </c>
      <c r="E21" s="147" t="s">
        <v>257</v>
      </c>
      <c r="F21" s="147" t="s">
        <v>298</v>
      </c>
    </row>
    <row r="22" spans="1:6" ht="23.25" customHeight="1" x14ac:dyDescent="0.35">
      <c r="A22" s="147" t="s">
        <v>142</v>
      </c>
      <c r="B22" s="147" t="s">
        <v>280</v>
      </c>
      <c r="C22" s="147" t="s">
        <v>299</v>
      </c>
      <c r="D22" s="147" t="s">
        <v>299</v>
      </c>
      <c r="E22" s="147" t="s">
        <v>257</v>
      </c>
      <c r="F22" s="147" t="s">
        <v>300</v>
      </c>
    </row>
    <row r="24" spans="1:6" ht="14.25" customHeight="1" x14ac:dyDescent="0.35">
      <c r="A24" s="148" t="s">
        <v>301</v>
      </c>
    </row>
    <row r="25" spans="1:6" ht="28.5" customHeight="1" x14ac:dyDescent="0.35"/>
    <row r="26" spans="1:6" ht="14.25" customHeight="1" x14ac:dyDescent="0.35">
      <c r="A26" s="144" t="s">
        <v>302</v>
      </c>
      <c r="B26" s="144" t="s">
        <v>303</v>
      </c>
      <c r="C26" s="144" t="s">
        <v>304</v>
      </c>
    </row>
    <row r="27" spans="1:6" ht="14.25" customHeight="1" x14ac:dyDescent="0.35">
      <c r="A27" s="146" t="s">
        <v>305</v>
      </c>
      <c r="B27" s="146">
        <v>8</v>
      </c>
      <c r="C27" s="149">
        <v>0.47</v>
      </c>
    </row>
    <row r="28" spans="1:6" ht="14.25" customHeight="1" x14ac:dyDescent="0.35">
      <c r="A28" s="146" t="s">
        <v>306</v>
      </c>
      <c r="B28" s="146">
        <v>2</v>
      </c>
      <c r="C28" s="149">
        <v>0.12</v>
      </c>
    </row>
    <row r="29" spans="1:6" ht="14.25" customHeight="1" x14ac:dyDescent="0.35">
      <c r="A29" s="146" t="s">
        <v>307</v>
      </c>
      <c r="B29" s="146">
        <v>2</v>
      </c>
      <c r="C29" s="149">
        <v>0.12</v>
      </c>
    </row>
    <row r="30" spans="1:6" ht="14.25" customHeight="1" x14ac:dyDescent="0.35">
      <c r="A30" s="146" t="s">
        <v>308</v>
      </c>
      <c r="B30" s="146">
        <v>5</v>
      </c>
      <c r="C30" s="149">
        <v>0.28999999999999998</v>
      </c>
    </row>
    <row r="32" spans="1:6" ht="14.25" customHeight="1" x14ac:dyDescent="0.35">
      <c r="A32" s="150" t="s">
        <v>309</v>
      </c>
    </row>
  </sheetData>
  <autoFilter ref="A5:F22" xr:uid="{00000000-0009-0000-0000-000004000000}">
    <filterColumn colId="4">
      <filters>
        <filter val="⬆️ Sube de nivel"/>
        <filter val="⬇️ Baja de nivel"/>
        <filter val="Sin cambio de posición — cambia el método"/>
        <filter val="🔄 Reordenado (mismo nivel)"/>
      </filters>
    </filterColumn>
  </autoFilter>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B1:C36"/>
  <sheetViews>
    <sheetView topLeftCell="B38" zoomScaleNormal="100" workbookViewId="0">
      <selection activeCell="B1" sqref="B1"/>
    </sheetView>
  </sheetViews>
  <sheetFormatPr baseColWidth="10" defaultColWidth="10.6328125" defaultRowHeight="14.5" x14ac:dyDescent="0.35"/>
  <cols>
    <col min="2" max="2" width="92.26953125" customWidth="1"/>
    <col min="3" max="3" width="81.26953125" customWidth="1"/>
  </cols>
  <sheetData>
    <row r="1" spans="2:3" x14ac:dyDescent="0.35">
      <c r="B1" t="s">
        <v>451</v>
      </c>
    </row>
    <row r="2" spans="2:3" ht="14.25" customHeight="1" x14ac:dyDescent="0.45">
      <c r="B2" s="153" t="s">
        <v>310</v>
      </c>
      <c r="C2" s="153" t="s">
        <v>311</v>
      </c>
    </row>
    <row r="19" spans="2:3" ht="103" customHeight="1" x14ac:dyDescent="0.35">
      <c r="B19" s="93" t="s">
        <v>317</v>
      </c>
    </row>
    <row r="20" spans="2:3" x14ac:dyDescent="0.35">
      <c r="B20" s="81" t="s">
        <v>318</v>
      </c>
      <c r="C20" s="102" t="s">
        <v>319</v>
      </c>
    </row>
    <row r="21" spans="2:3" ht="14.25" customHeight="1" x14ac:dyDescent="0.35">
      <c r="B21" s="81" t="s">
        <v>320</v>
      </c>
      <c r="C21" s="102" t="s">
        <v>321</v>
      </c>
    </row>
    <row r="22" spans="2:3" x14ac:dyDescent="0.35">
      <c r="B22" s="81" t="s">
        <v>322</v>
      </c>
      <c r="C22" s="102" t="s">
        <v>323</v>
      </c>
    </row>
    <row r="23" spans="2:3" x14ac:dyDescent="0.35">
      <c r="B23" s="81" t="s">
        <v>324</v>
      </c>
      <c r="C23" s="102" t="s">
        <v>325</v>
      </c>
    </row>
    <row r="24" spans="2:3" x14ac:dyDescent="0.35">
      <c r="B24" s="81" t="s">
        <v>326</v>
      </c>
      <c r="C24" s="102" t="s">
        <v>327</v>
      </c>
    </row>
    <row r="25" spans="2:3" x14ac:dyDescent="0.35">
      <c r="B25" s="81" t="s">
        <v>328</v>
      </c>
      <c r="C25" s="102" t="s">
        <v>329</v>
      </c>
    </row>
    <row r="26" spans="2:3" x14ac:dyDescent="0.35">
      <c r="B26" s="81" t="s">
        <v>330</v>
      </c>
      <c r="C26" s="102" t="s">
        <v>331</v>
      </c>
    </row>
    <row r="27" spans="2:3" x14ac:dyDescent="0.35">
      <c r="B27" s="81" t="s">
        <v>332</v>
      </c>
      <c r="C27" s="102" t="s">
        <v>333</v>
      </c>
    </row>
    <row r="28" spans="2:3" x14ac:dyDescent="0.35">
      <c r="B28" s="81" t="s">
        <v>334</v>
      </c>
      <c r="C28" s="102" t="s">
        <v>335</v>
      </c>
    </row>
    <row r="29" spans="2:3" x14ac:dyDescent="0.35">
      <c r="B29" s="81" t="s">
        <v>336</v>
      </c>
      <c r="C29" s="102" t="s">
        <v>337</v>
      </c>
    </row>
    <row r="30" spans="2:3" x14ac:dyDescent="0.35">
      <c r="B30" s="81" t="s">
        <v>338</v>
      </c>
      <c r="C30" s="102" t="s">
        <v>339</v>
      </c>
    </row>
    <row r="31" spans="2:3" x14ac:dyDescent="0.35">
      <c r="B31" s="81" t="s">
        <v>340</v>
      </c>
      <c r="C31" s="102" t="s">
        <v>341</v>
      </c>
    </row>
    <row r="33" spans="2:2" x14ac:dyDescent="0.35">
      <c r="B33" s="99" t="s">
        <v>342</v>
      </c>
    </row>
    <row r="34" spans="2:2" x14ac:dyDescent="0.35">
      <c r="B34" s="80" t="s">
        <v>345</v>
      </c>
    </row>
    <row r="35" spans="2:2" x14ac:dyDescent="0.35">
      <c r="B35" s="80" t="s">
        <v>343</v>
      </c>
    </row>
    <row r="36" spans="2:2" x14ac:dyDescent="0.35">
      <c r="B36" s="80" t="s">
        <v>344</v>
      </c>
    </row>
  </sheetData>
  <pageMargins left="0.7" right="0.7" top="0.75" bottom="0.75" header="0.511811023622047" footer="0.511811023622047"/>
  <pageSetup paperSize="9" orientation="portrait" horizontalDpi="300" verticalDpi="300"/>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B89493A-DF73-4EB8-A9D4-3A0E20976088}">
  <dimension ref="A1:H161"/>
  <sheetViews>
    <sheetView topLeftCell="B15" workbookViewId="0">
      <selection activeCell="L12" sqref="L12"/>
    </sheetView>
  </sheetViews>
  <sheetFormatPr baseColWidth="10" defaultRowHeight="14.5" x14ac:dyDescent="0.35"/>
  <cols>
    <col min="1" max="1" width="101.90625" customWidth="1"/>
  </cols>
  <sheetData>
    <row r="1" spans="1:1" x14ac:dyDescent="0.35">
      <c r="A1" s="154"/>
    </row>
    <row r="2" spans="1:1" x14ac:dyDescent="0.35">
      <c r="A2" s="155" t="s">
        <v>346</v>
      </c>
    </row>
    <row r="3" spans="1:1" x14ac:dyDescent="0.35">
      <c r="A3" s="156" t="s">
        <v>347</v>
      </c>
    </row>
    <row r="4" spans="1:1" x14ac:dyDescent="0.35">
      <c r="A4" s="154"/>
    </row>
    <row r="5" spans="1:1" x14ac:dyDescent="0.35">
      <c r="A5" s="165" t="s">
        <v>348</v>
      </c>
    </row>
    <row r="6" spans="1:1" x14ac:dyDescent="0.35">
      <c r="A6" s="154"/>
    </row>
    <row r="7" spans="1:1" x14ac:dyDescent="0.35">
      <c r="A7" s="156" t="s">
        <v>349</v>
      </c>
    </row>
    <row r="8" spans="1:1" x14ac:dyDescent="0.35">
      <c r="A8" s="165" t="s">
        <v>350</v>
      </c>
    </row>
    <row r="9" spans="1:1" x14ac:dyDescent="0.35">
      <c r="A9" s="165" t="s">
        <v>351</v>
      </c>
    </row>
    <row r="10" spans="1:1" x14ac:dyDescent="0.35">
      <c r="A10" s="154"/>
    </row>
    <row r="11" spans="1:1" x14ac:dyDescent="0.35">
      <c r="A11" s="155" t="s">
        <v>352</v>
      </c>
    </row>
    <row r="12" spans="1:1" x14ac:dyDescent="0.35">
      <c r="A12" s="154"/>
    </row>
    <row r="13" spans="1:1" x14ac:dyDescent="0.35">
      <c r="A13" s="155" t="s">
        <v>353</v>
      </c>
    </row>
    <row r="14" spans="1:1" x14ac:dyDescent="0.35">
      <c r="A14" s="156" t="s">
        <v>354</v>
      </c>
    </row>
    <row r="15" spans="1:1" x14ac:dyDescent="0.35">
      <c r="A15" s="154"/>
    </row>
    <row r="16" spans="1:1" x14ac:dyDescent="0.35">
      <c r="A16" s="156" t="s">
        <v>355</v>
      </c>
    </row>
    <row r="17" spans="1:1" x14ac:dyDescent="0.35">
      <c r="A17" s="156" t="s">
        <v>356</v>
      </c>
    </row>
    <row r="18" spans="1:1" x14ac:dyDescent="0.35">
      <c r="A18" s="154"/>
    </row>
    <row r="19" spans="1:1" x14ac:dyDescent="0.35">
      <c r="A19" s="156" t="s">
        <v>357</v>
      </c>
    </row>
    <row r="20" spans="1:1" x14ac:dyDescent="0.35">
      <c r="A20" s="156" t="s">
        <v>358</v>
      </c>
    </row>
    <row r="21" spans="1:1" x14ac:dyDescent="0.35">
      <c r="A21" s="154"/>
    </row>
    <row r="22" spans="1:1" x14ac:dyDescent="0.35">
      <c r="A22" s="156" t="s">
        <v>359</v>
      </c>
    </row>
    <row r="23" spans="1:1" x14ac:dyDescent="0.35">
      <c r="A23" s="156" t="s">
        <v>360</v>
      </c>
    </row>
    <row r="24" spans="1:1" x14ac:dyDescent="0.35">
      <c r="A24" s="154"/>
    </row>
    <row r="25" spans="1:1" x14ac:dyDescent="0.35">
      <c r="A25" s="156" t="s">
        <v>361</v>
      </c>
    </row>
    <row r="26" spans="1:1" x14ac:dyDescent="0.35">
      <c r="A26" s="156" t="s">
        <v>362</v>
      </c>
    </row>
    <row r="27" spans="1:1" x14ac:dyDescent="0.35">
      <c r="A27" s="154"/>
    </row>
    <row r="28" spans="1:1" x14ac:dyDescent="0.35">
      <c r="A28" s="156" t="s">
        <v>363</v>
      </c>
    </row>
    <row r="29" spans="1:1" x14ac:dyDescent="0.35">
      <c r="A29" s="156" t="s">
        <v>364</v>
      </c>
    </row>
    <row r="30" spans="1:1" x14ac:dyDescent="0.35">
      <c r="A30" s="154"/>
    </row>
    <row r="31" spans="1:1" x14ac:dyDescent="0.35">
      <c r="A31" s="156" t="s">
        <v>365</v>
      </c>
    </row>
    <row r="32" spans="1:1" x14ac:dyDescent="0.35">
      <c r="A32" s="156" t="s">
        <v>366</v>
      </c>
    </row>
    <row r="33" spans="1:1" x14ac:dyDescent="0.35">
      <c r="A33" s="154"/>
    </row>
    <row r="34" spans="1:1" x14ac:dyDescent="0.35">
      <c r="A34" s="156" t="s">
        <v>367</v>
      </c>
    </row>
    <row r="35" spans="1:1" x14ac:dyDescent="0.35">
      <c r="A35" s="154"/>
    </row>
    <row r="36" spans="1:1" x14ac:dyDescent="0.35">
      <c r="A36" s="155" t="s">
        <v>368</v>
      </c>
    </row>
    <row r="37" spans="1:1" x14ac:dyDescent="0.35">
      <c r="A37" s="156" t="s">
        <v>369</v>
      </c>
    </row>
    <row r="38" spans="1:1" x14ac:dyDescent="0.35">
      <c r="A38" s="154"/>
    </row>
    <row r="39" spans="1:1" x14ac:dyDescent="0.35">
      <c r="A39" s="156" t="s">
        <v>370</v>
      </c>
    </row>
    <row r="40" spans="1:1" x14ac:dyDescent="0.35">
      <c r="A40" s="156" t="s">
        <v>371</v>
      </c>
    </row>
    <row r="41" spans="1:1" x14ac:dyDescent="0.35">
      <c r="A41" s="154"/>
    </row>
    <row r="42" spans="1:1" x14ac:dyDescent="0.35">
      <c r="A42" s="156" t="s">
        <v>372</v>
      </c>
    </row>
    <row r="43" spans="1:1" x14ac:dyDescent="0.35">
      <c r="A43" s="156" t="s">
        <v>373</v>
      </c>
    </row>
    <row r="44" spans="1:1" x14ac:dyDescent="0.35">
      <c r="A44" s="154"/>
    </row>
    <row r="45" spans="1:1" x14ac:dyDescent="0.35">
      <c r="A45" s="156" t="s">
        <v>374</v>
      </c>
    </row>
    <row r="46" spans="1:1" x14ac:dyDescent="0.35">
      <c r="A46" s="156" t="s">
        <v>375</v>
      </c>
    </row>
    <row r="47" spans="1:1" x14ac:dyDescent="0.35">
      <c r="A47" s="154"/>
    </row>
    <row r="48" spans="1:1" x14ac:dyDescent="0.35">
      <c r="A48" s="156" t="s">
        <v>376</v>
      </c>
    </row>
    <row r="49" spans="1:1" x14ac:dyDescent="0.35">
      <c r="A49" s="154"/>
    </row>
    <row r="50" spans="1:1" x14ac:dyDescent="0.35">
      <c r="A50" s="155" t="s">
        <v>377</v>
      </c>
    </row>
    <row r="51" spans="1:1" x14ac:dyDescent="0.35">
      <c r="A51" s="156" t="s">
        <v>378</v>
      </c>
    </row>
    <row r="52" spans="1:1" x14ac:dyDescent="0.35">
      <c r="A52" s="154"/>
    </row>
    <row r="53" spans="1:1" x14ac:dyDescent="0.35">
      <c r="A53" s="156" t="s">
        <v>379</v>
      </c>
    </row>
    <row r="54" spans="1:1" x14ac:dyDescent="0.35">
      <c r="A54" s="154"/>
    </row>
    <row r="55" spans="1:1" x14ac:dyDescent="0.35">
      <c r="A55" s="155" t="s">
        <v>380</v>
      </c>
    </row>
    <row r="56" spans="1:1" x14ac:dyDescent="0.35">
      <c r="A56" s="156" t="s">
        <v>381</v>
      </c>
    </row>
    <row r="57" spans="1:1" x14ac:dyDescent="0.35">
      <c r="A57" s="154"/>
    </row>
    <row r="58" spans="1:1" x14ac:dyDescent="0.35">
      <c r="A58" s="156" t="s">
        <v>382</v>
      </c>
    </row>
    <row r="59" spans="1:1" x14ac:dyDescent="0.35">
      <c r="A59" s="154"/>
    </row>
    <row r="60" spans="1:1" x14ac:dyDescent="0.35">
      <c r="A60" s="155"/>
    </row>
    <row r="61" spans="1:1" x14ac:dyDescent="0.35">
      <c r="A61" s="156" t="s">
        <v>383</v>
      </c>
    </row>
    <row r="63" spans="1:1" x14ac:dyDescent="0.35">
      <c r="A63" s="157" t="s">
        <v>384</v>
      </c>
    </row>
    <row r="65" spans="1:1" x14ac:dyDescent="0.35">
      <c r="A65" s="157" t="s">
        <v>385</v>
      </c>
    </row>
    <row r="67" spans="1:1" ht="17.5" x14ac:dyDescent="0.35">
      <c r="A67" s="158" t="s">
        <v>386</v>
      </c>
    </row>
    <row r="68" spans="1:1" x14ac:dyDescent="0.35">
      <c r="A68" s="159"/>
    </row>
    <row r="69" spans="1:1" x14ac:dyDescent="0.35">
      <c r="A69" s="160" t="s">
        <v>387</v>
      </c>
    </row>
    <row r="70" spans="1:1" x14ac:dyDescent="0.35">
      <c r="A70" s="159"/>
    </row>
    <row r="71" spans="1:1" x14ac:dyDescent="0.35">
      <c r="A71" s="160" t="s">
        <v>388</v>
      </c>
    </row>
    <row r="72" spans="1:1" x14ac:dyDescent="0.35">
      <c r="A72" s="159"/>
    </row>
    <row r="73" spans="1:1" x14ac:dyDescent="0.35">
      <c r="A73" s="160" t="s">
        <v>389</v>
      </c>
    </row>
    <row r="75" spans="1:1" ht="17.5" x14ac:dyDescent="0.35">
      <c r="A75" s="158" t="s">
        <v>390</v>
      </c>
    </row>
    <row r="76" spans="1:1" x14ac:dyDescent="0.35">
      <c r="A76" s="159"/>
    </row>
    <row r="77" spans="1:1" x14ac:dyDescent="0.35">
      <c r="A77" s="160" t="s">
        <v>391</v>
      </c>
    </row>
    <row r="78" spans="1:1" x14ac:dyDescent="0.35">
      <c r="A78" s="159"/>
    </row>
    <row r="79" spans="1:1" x14ac:dyDescent="0.35">
      <c r="A79" s="160" t="s">
        <v>392</v>
      </c>
    </row>
    <row r="80" spans="1:1" x14ac:dyDescent="0.35">
      <c r="A80" s="159"/>
    </row>
    <row r="81" spans="1:1" x14ac:dyDescent="0.35">
      <c r="A81" s="160" t="s">
        <v>393</v>
      </c>
    </row>
    <row r="83" spans="1:1" ht="17.5" x14ac:dyDescent="0.35">
      <c r="A83" s="158" t="s">
        <v>394</v>
      </c>
    </row>
    <row r="84" spans="1:1" x14ac:dyDescent="0.35">
      <c r="A84" s="159"/>
    </row>
    <row r="85" spans="1:1" x14ac:dyDescent="0.35">
      <c r="A85" s="161" t="s">
        <v>395</v>
      </c>
    </row>
    <row r="88" spans="1:1" ht="17.5" x14ac:dyDescent="0.35">
      <c r="A88" s="158" t="s">
        <v>396</v>
      </c>
    </row>
    <row r="90" spans="1:1" x14ac:dyDescent="0.35">
      <c r="A90" s="157" t="s">
        <v>397</v>
      </c>
    </row>
    <row r="91" spans="1:1" x14ac:dyDescent="0.35">
      <c r="A91" s="159"/>
    </row>
    <row r="92" spans="1:1" x14ac:dyDescent="0.35">
      <c r="A92" s="160" t="s">
        <v>398</v>
      </c>
    </row>
    <row r="93" spans="1:1" x14ac:dyDescent="0.35">
      <c r="A93" s="159"/>
    </row>
    <row r="94" spans="1:1" x14ac:dyDescent="0.35">
      <c r="A94" s="161"/>
    </row>
    <row r="95" spans="1:1" x14ac:dyDescent="0.35">
      <c r="A95" s="162" t="s">
        <v>399</v>
      </c>
    </row>
    <row r="96" spans="1:1" x14ac:dyDescent="0.35">
      <c r="A96" s="163"/>
    </row>
    <row r="97" spans="1:1" x14ac:dyDescent="0.35">
      <c r="A97" s="162" t="s">
        <v>400</v>
      </c>
    </row>
    <row r="98" spans="1:1" x14ac:dyDescent="0.35">
      <c r="A98" s="159"/>
    </row>
    <row r="99" spans="1:1" x14ac:dyDescent="0.35">
      <c r="A99" s="160" t="s">
        <v>401</v>
      </c>
    </row>
    <row r="100" spans="1:1" x14ac:dyDescent="0.35">
      <c r="A100" s="159"/>
    </row>
    <row r="101" spans="1:1" x14ac:dyDescent="0.35">
      <c r="A101" s="161"/>
    </row>
    <row r="102" spans="1:1" x14ac:dyDescent="0.35">
      <c r="A102" s="162" t="s">
        <v>402</v>
      </c>
    </row>
    <row r="103" spans="1:1" x14ac:dyDescent="0.35">
      <c r="A103" s="163"/>
    </row>
    <row r="104" spans="1:1" x14ac:dyDescent="0.35">
      <c r="A104" s="162" t="s">
        <v>403</v>
      </c>
    </row>
    <row r="106" spans="1:1" x14ac:dyDescent="0.35">
      <c r="A106" s="164" t="s">
        <v>404</v>
      </c>
    </row>
    <row r="108" spans="1:1" x14ac:dyDescent="0.35">
      <c r="A108" t="s">
        <v>405</v>
      </c>
    </row>
    <row r="109" spans="1:1" x14ac:dyDescent="0.35">
      <c r="A109" t="s">
        <v>406</v>
      </c>
    </row>
    <row r="110" spans="1:1" x14ac:dyDescent="0.35">
      <c r="A110" t="s">
        <v>407</v>
      </c>
    </row>
    <row r="112" spans="1:1" x14ac:dyDescent="0.35">
      <c r="A112" t="s">
        <v>408</v>
      </c>
    </row>
    <row r="114" spans="1:1" x14ac:dyDescent="0.35">
      <c r="A114" t="s">
        <v>409</v>
      </c>
    </row>
    <row r="115" spans="1:1" x14ac:dyDescent="0.35">
      <c r="A115" t="s">
        <v>410</v>
      </c>
    </row>
    <row r="116" spans="1:1" x14ac:dyDescent="0.35">
      <c r="A116" t="s">
        <v>411</v>
      </c>
    </row>
    <row r="117" spans="1:1" x14ac:dyDescent="0.35">
      <c r="A117" t="s">
        <v>412</v>
      </c>
    </row>
    <row r="118" spans="1:1" x14ac:dyDescent="0.35">
      <c r="A118" t="s">
        <v>413</v>
      </c>
    </row>
    <row r="119" spans="1:1" x14ac:dyDescent="0.35">
      <c r="A119" t="s">
        <v>414</v>
      </c>
    </row>
    <row r="120" spans="1:1" x14ac:dyDescent="0.35">
      <c r="A120" t="s">
        <v>415</v>
      </c>
    </row>
    <row r="121" spans="1:1" x14ac:dyDescent="0.35">
      <c r="A121" t="s">
        <v>416</v>
      </c>
    </row>
    <row r="122" spans="1:1" x14ac:dyDescent="0.35">
      <c r="A122" t="s">
        <v>417</v>
      </c>
    </row>
    <row r="123" spans="1:1" x14ac:dyDescent="0.35">
      <c r="A123" t="s">
        <v>418</v>
      </c>
    </row>
    <row r="124" spans="1:1" x14ac:dyDescent="0.35">
      <c r="A124" t="s">
        <v>419</v>
      </c>
    </row>
    <row r="125" spans="1:1" x14ac:dyDescent="0.35">
      <c r="A125" t="s">
        <v>420</v>
      </c>
    </row>
    <row r="126" spans="1:1" x14ac:dyDescent="0.35">
      <c r="A126" t="s">
        <v>421</v>
      </c>
    </row>
    <row r="127" spans="1:1" x14ac:dyDescent="0.35">
      <c r="A127" t="s">
        <v>422</v>
      </c>
    </row>
    <row r="128" spans="1:1" x14ac:dyDescent="0.35">
      <c r="A128" t="s">
        <v>423</v>
      </c>
    </row>
    <row r="129" spans="1:8" x14ac:dyDescent="0.35">
      <c r="A129" t="s">
        <v>424</v>
      </c>
    </row>
    <row r="130" spans="1:8" x14ac:dyDescent="0.35">
      <c r="A130" t="s">
        <v>425</v>
      </c>
    </row>
    <row r="132" spans="1:8" ht="17.5" x14ac:dyDescent="0.35">
      <c r="A132" s="166" t="s">
        <v>426</v>
      </c>
      <c r="C132" s="170"/>
    </row>
    <row r="133" spans="1:8" x14ac:dyDescent="0.35">
      <c r="A133" s="159"/>
      <c r="C133" s="156" t="s">
        <v>437</v>
      </c>
    </row>
    <row r="134" spans="1:8" ht="43.5" x14ac:dyDescent="0.35">
      <c r="A134" s="168" t="s">
        <v>427</v>
      </c>
      <c r="B134" s="169"/>
      <c r="C134" s="156" t="s">
        <v>438</v>
      </c>
      <c r="D134" s="169"/>
      <c r="E134" s="169"/>
      <c r="F134" s="169"/>
      <c r="G134" s="169"/>
      <c r="H134" s="169"/>
    </row>
    <row r="135" spans="1:8" x14ac:dyDescent="0.35">
      <c r="A135" s="159"/>
      <c r="C135" s="156" t="s">
        <v>439</v>
      </c>
    </row>
    <row r="136" spans="1:8" x14ac:dyDescent="0.35">
      <c r="A136" s="159" t="s">
        <v>428</v>
      </c>
    </row>
    <row r="137" spans="1:8" ht="17.5" x14ac:dyDescent="0.35">
      <c r="A137" s="159"/>
      <c r="C137" s="170" t="s">
        <v>441</v>
      </c>
    </row>
    <row r="138" spans="1:8" x14ac:dyDescent="0.35">
      <c r="A138" s="159"/>
    </row>
    <row r="139" spans="1:8" x14ac:dyDescent="0.35">
      <c r="A139" s="163"/>
      <c r="C139" s="175" t="s">
        <v>440</v>
      </c>
      <c r="D139" s="176"/>
      <c r="E139" s="176"/>
      <c r="F139" s="176"/>
    </row>
    <row r="140" spans="1:8" x14ac:dyDescent="0.35">
      <c r="A140" s="167" t="s">
        <v>429</v>
      </c>
      <c r="C140" s="173"/>
    </row>
    <row r="141" spans="1:8" x14ac:dyDescent="0.35">
      <c r="A141" s="163"/>
      <c r="C141" s="174" t="s">
        <v>442</v>
      </c>
    </row>
    <row r="142" spans="1:8" x14ac:dyDescent="0.35">
      <c r="A142" s="167" t="s">
        <v>430</v>
      </c>
      <c r="C142" s="171" t="s">
        <v>431</v>
      </c>
    </row>
    <row r="143" spans="1:8" x14ac:dyDescent="0.35">
      <c r="C143" s="172"/>
    </row>
    <row r="144" spans="1:8" x14ac:dyDescent="0.35">
      <c r="C144" s="173"/>
    </row>
    <row r="145" spans="3:7" x14ac:dyDescent="0.35">
      <c r="C145" s="174" t="s">
        <v>432</v>
      </c>
    </row>
    <row r="147" spans="3:7" x14ac:dyDescent="0.35">
      <c r="C147" s="172"/>
    </row>
    <row r="148" spans="3:7" x14ac:dyDescent="0.35">
      <c r="C148" s="175" t="s">
        <v>443</v>
      </c>
      <c r="D148" s="176"/>
      <c r="E148" s="176"/>
      <c r="F148" s="176"/>
      <c r="G148" s="176"/>
    </row>
    <row r="149" spans="3:7" x14ac:dyDescent="0.35">
      <c r="C149" s="174" t="s">
        <v>433</v>
      </c>
    </row>
    <row r="151" spans="3:7" ht="17.5" x14ac:dyDescent="0.35">
      <c r="C151" s="170" t="s">
        <v>444</v>
      </c>
    </row>
    <row r="152" spans="3:7" x14ac:dyDescent="0.35">
      <c r="C152" s="171" t="s">
        <v>434</v>
      </c>
    </row>
    <row r="153" spans="3:7" x14ac:dyDescent="0.35">
      <c r="C153" s="174" t="s">
        <v>435</v>
      </c>
    </row>
    <row r="154" spans="3:7" x14ac:dyDescent="0.35">
      <c r="C154" s="174" t="s">
        <v>445</v>
      </c>
    </row>
    <row r="156" spans="3:7" ht="17.5" x14ac:dyDescent="0.35">
      <c r="C156" s="170" t="s">
        <v>436</v>
      </c>
    </row>
    <row r="157" spans="3:7" x14ac:dyDescent="0.35">
      <c r="C157" s="171" t="s">
        <v>448</v>
      </c>
    </row>
    <row r="158" spans="3:7" x14ac:dyDescent="0.35">
      <c r="F158" t="s">
        <v>449</v>
      </c>
    </row>
    <row r="160" spans="3:7" x14ac:dyDescent="0.35">
      <c r="C160" s="171" t="s">
        <v>446</v>
      </c>
    </row>
    <row r="161" spans="5:5" x14ac:dyDescent="0.35">
      <c r="E161" t="s">
        <v>447</v>
      </c>
    </row>
  </sheetData>
  <hyperlinks>
    <hyperlink ref="A5" location="'Memoria de calculo del ahorro'!A107" display="Ahorro (A) = Gasto Actual (C) x Factor de Eficiencia (Ef)" xr:uid="{A93C6F18-8843-44EB-9047-BD5AA8DE7633}"/>
    <hyperlink ref="A8:A9" location="'Memoria de calculo del ahorro'!A135" display="• Estrato Base (Niveles 1 y 2): Ef = 0.05 (5% de ahorro). Derivado de la mejora del tiro perimetral del aire y estabilización de la masa térmica." xr:uid="{119149B6-EFFC-4592-9AE2-45A98F74ACDA}"/>
  </hyperlinks>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Hojas de cálculo</vt:lpstr>
      </vt:variant>
      <vt:variant>
        <vt:i4>7</vt:i4>
      </vt:variant>
    </vt:vector>
  </HeadingPairs>
  <TitlesOfParts>
    <vt:vector size="7" baseType="lpstr">
      <vt:lpstr>Matriz Layout Camara</vt:lpstr>
      <vt:lpstr>Consumo energia Total Franq</vt:lpstr>
      <vt:lpstr>Propuesta Reubicacion en camara</vt:lpstr>
      <vt:lpstr>Caso de Negocio </vt:lpstr>
      <vt:lpstr>Diferencias</vt:lpstr>
      <vt:lpstr>Layout producto en camara</vt:lpstr>
      <vt:lpstr>Memoria de calculo del ahorro</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Delfina BB3 Nardone</dc:creator>
  <dc:description/>
  <cp:lastModifiedBy>Gustavo Nardone</cp:lastModifiedBy>
  <cp:revision>6</cp:revision>
  <dcterms:created xsi:type="dcterms:W3CDTF">2026-09-03T17:24:11Z</dcterms:created>
  <dcterms:modified xsi:type="dcterms:W3CDTF">2026-09-17T15:51:46Z</dcterms:modified>
  <dc:language>en-US</dc:language>
</cp:coreProperties>
</file>